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Boomika\Desktop\project\"/>
    </mc:Choice>
  </mc:AlternateContent>
  <xr:revisionPtr revIDLastSave="0" documentId="8_{3805CE05-F89A-4A40-9963-D760FB211E08}" xr6:coauthVersionLast="47" xr6:coauthVersionMax="47" xr10:uidLastSave="{00000000-0000-0000-0000-000000000000}"/>
  <bookViews>
    <workbookView xWindow="-108" yWindow="-108" windowWidth="23256" windowHeight="13896" activeTab="2" xr2:uid="{00000000-000D-0000-FFFF-FFFF00000000}"/>
  </bookViews>
  <sheets>
    <sheet name="Sales_Data" sheetId="1" r:id="rId1"/>
    <sheet name="Sheet1" sheetId="2" r:id="rId2"/>
    <sheet name="sales_dashboard" sheetId="3" r:id="rId3"/>
  </sheets>
  <definedNames>
    <definedName name="_xlcn.WorksheetConnection_Ecommerce_Sales_Dataset_100.xlsxTable1" hidden="1">Table1[]</definedName>
    <definedName name="_xlcn.WorksheetConnection_Ecommerce_Sales_Dataset_100.xlsxTable2" hidden="1">Table2</definedName>
    <definedName name="Slicer_Payment_Mode">#N/A</definedName>
    <definedName name="Slicer_Product_Category">#N/A</definedName>
    <definedName name="Slicer_St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Ecommerce_Sales_Dataset_100.xlsx!Table2"/>
          <x15:modelTable id="Table1" name="Table1" connection="WorksheetConnection_Ecommerce_Sales_Dataset_100.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8F6F39-BC3D-46B9-8996-9839A89BCA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978152-3C4B-441A-AC9D-1FBE0FD8FADC}" name="WorksheetConnection_Ecommerce_Sales_Dataset_100.xlsx!Table1" type="102" refreshedVersion="8" minRefreshableVersion="5">
    <extLst>
      <ext xmlns:x15="http://schemas.microsoft.com/office/spreadsheetml/2010/11/main" uri="{DE250136-89BD-433C-8126-D09CA5730AF9}">
        <x15:connection id="Table1">
          <x15:rangePr sourceName="_xlcn.WorksheetConnection_Ecommerce_Sales_Dataset_100.xlsxTable1"/>
        </x15:connection>
      </ext>
    </extLst>
  </connection>
  <connection id="3" xr16:uid="{E27C349F-3EEC-4448-8AA2-DE833ACD1DCF}" name="WorksheetConnection_Ecommerce_Sales_Dataset_100.xlsx!Table2" type="102" refreshedVersion="8" minRefreshableVersion="5">
    <extLst>
      <ext xmlns:x15="http://schemas.microsoft.com/office/spreadsheetml/2010/11/main" uri="{DE250136-89BD-433C-8126-D09CA5730AF9}">
        <x15:connection id="Table2" autoDelete="1">
          <x15:rangePr sourceName="_xlcn.WorksheetConnection_Ecommerce_Sales_Dataset_100.xlsxTable2"/>
        </x15:connection>
      </ext>
    </extLst>
  </connection>
</connections>
</file>

<file path=xl/sharedStrings.xml><?xml version="1.0" encoding="utf-8"?>
<sst xmlns="http://schemas.openxmlformats.org/spreadsheetml/2006/main" count="784" uniqueCount="83">
  <si>
    <t>Order_ID</t>
  </si>
  <si>
    <t>Order_Date</t>
  </si>
  <si>
    <t>Customer_Name</t>
  </si>
  <si>
    <t>Gender</t>
  </si>
  <si>
    <t>Age</t>
  </si>
  <si>
    <t>City</t>
  </si>
  <si>
    <t>State</t>
  </si>
  <si>
    <t>Product_Category</t>
  </si>
  <si>
    <t>Product_Name</t>
  </si>
  <si>
    <t>Quantity</t>
  </si>
  <si>
    <t>Unit_Price</t>
  </si>
  <si>
    <t>Discount</t>
  </si>
  <si>
    <t>Payment_Mode</t>
  </si>
  <si>
    <t>Sales</t>
  </si>
  <si>
    <t>Profit</t>
  </si>
  <si>
    <t>Divya</t>
  </si>
  <si>
    <t>Male</t>
  </si>
  <si>
    <t>Hyderabad</t>
  </si>
  <si>
    <t>Telangana</t>
  </si>
  <si>
    <t>Electronics</t>
  </si>
  <si>
    <t>Mobile</t>
  </si>
  <si>
    <t>Credit Card</t>
  </si>
  <si>
    <t>Vijay</t>
  </si>
  <si>
    <t>Bangalore</t>
  </si>
  <si>
    <t>Karnataka</t>
  </si>
  <si>
    <t>Grocery</t>
  </si>
  <si>
    <t>Oil</t>
  </si>
  <si>
    <t>Debit Card</t>
  </si>
  <si>
    <t>Rahul</t>
  </si>
  <si>
    <t>Female</t>
  </si>
  <si>
    <t>Coffee</t>
  </si>
  <si>
    <t>UPI</t>
  </si>
  <si>
    <t>Priya</t>
  </si>
  <si>
    <t>Delhi</t>
  </si>
  <si>
    <t>Headphones</t>
  </si>
  <si>
    <t>Cash</t>
  </si>
  <si>
    <t>Fashion</t>
  </si>
  <si>
    <t>Shirt</t>
  </si>
  <si>
    <t>Arun</t>
  </si>
  <si>
    <t>Shoes</t>
  </si>
  <si>
    <t>Jeans</t>
  </si>
  <si>
    <t>Rohan</t>
  </si>
  <si>
    <t>Sneha</t>
  </si>
  <si>
    <t>Home</t>
  </si>
  <si>
    <t>Table</t>
  </si>
  <si>
    <t>Laptop</t>
  </si>
  <si>
    <t>Chennai</t>
  </si>
  <si>
    <t>Tamil Nadu</t>
  </si>
  <si>
    <t>Mumbai</t>
  </si>
  <si>
    <t>Maharashtra</t>
  </si>
  <si>
    <t>Ananya</t>
  </si>
  <si>
    <t>Lamp</t>
  </si>
  <si>
    <t>Karthik</t>
  </si>
  <si>
    <t>Tablet</t>
  </si>
  <si>
    <t>Snacks</t>
  </si>
  <si>
    <t>Sofa</t>
  </si>
  <si>
    <t>Chair</t>
  </si>
  <si>
    <t>Dress</t>
  </si>
  <si>
    <t>Meena</t>
  </si>
  <si>
    <t>Rice</t>
  </si>
  <si>
    <t>Row Labels</t>
  </si>
  <si>
    <t>Grand Total</t>
  </si>
  <si>
    <t>Sum of Sales</t>
  </si>
  <si>
    <t>Feb</t>
  </si>
  <si>
    <t>Apr</t>
  </si>
  <si>
    <t>May</t>
  </si>
  <si>
    <t>Jul</t>
  </si>
  <si>
    <t>Aug</t>
  </si>
  <si>
    <t>Nov</t>
  </si>
  <si>
    <t>Dec</t>
  </si>
  <si>
    <t>Sum of Profit</t>
  </si>
  <si>
    <t>Count of Customer_Name</t>
  </si>
  <si>
    <t>Oct</t>
  </si>
  <si>
    <t>Jan</t>
  </si>
  <si>
    <t>Mar</t>
  </si>
  <si>
    <t>Jun</t>
  </si>
  <si>
    <t>Sep</t>
  </si>
  <si>
    <t>product_category</t>
  </si>
  <si>
    <t>monthly__sales</t>
  </si>
  <si>
    <t>Top_products</t>
  </si>
  <si>
    <t>Count of Order_ID</t>
  </si>
  <si>
    <t xml:space="preserve"> </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</si>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</sst>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 [$₹-4009]\ * #,##0_ ;_ [$₹-4009]\ * \-#,##0_ ;_ [$₹-4009]\ * &quot;-&quot;??_ ;_ @_ "/>
    <numFmt numFmtId="166" formatCode="&quot;₹&quot;\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4" tint="0.79998168889431442"/>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4" fontId="0" fillId="0" borderId="0" xfId="0" applyNumberFormat="1"/>
    <xf numFmtId="9"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1" xfId="0" applyBorder="1"/>
    <xf numFmtId="166" fontId="0" fillId="0" borderId="0" xfId="0" applyNumberFormat="1" applyAlignment="1">
      <alignment horizontal="left"/>
    </xf>
    <xf numFmtId="2" fontId="0" fillId="0" borderId="0" xfId="0" applyNumberFormat="1"/>
    <xf numFmtId="10" fontId="0" fillId="0" borderId="0" xfId="1" applyNumberFormat="1" applyFont="1"/>
    <xf numFmtId="0" fontId="2" fillId="3" borderId="0" xfId="0" applyFont="1" applyFill="1"/>
  </cellXfs>
  <cellStyles count="2">
    <cellStyle name="Normal" xfId="0" builtinId="0"/>
    <cellStyle name="Percent" xfId="1" builtinId="5"/>
  </cellStyles>
  <dxfs count="14">
    <dxf>
      <numFmt numFmtId="1" formatCode="0"/>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7" formatCode="_ [$₹-4009]\ * #,##0.00_ ;_ [$₹-4009]\ * \-#,##0.00_ ;_ [$₹-4009]\ * &quot;-&quot;??_ ;_ @_ "/>
    </dxf>
    <dxf>
      <numFmt numFmtId="2" formatCode="0.00"/>
    </dxf>
    <dxf>
      <numFmt numFmtId="166" formatCode="&quot;₹&quot;\ #,##0"/>
    </dxf>
    <dxf>
      <alignment relativeIndent="-1"/>
    </dxf>
    <dxf>
      <alignment horizontal="left" relativeIndent="1"/>
    </dxf>
    <dxf>
      <numFmt numFmtId="13" formatCode="0%"/>
    </dxf>
    <dxf>
      <numFmt numFmtId="13" formatCode="0%"/>
    </dxf>
    <dxf>
      <numFmt numFmtId="164" formatCode="yyyy\-mm\-dd"/>
    </dxf>
    <dxf>
      <numFmt numFmtId="164" formatCode="yyyy\-mm\-dd"/>
    </dxf>
  </dxfs>
  <tableStyles count="0" defaultTableStyle="TableStyleMedium9"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1.xml"/><Relationship Id="rId21" Type="http://schemas.openxmlformats.org/officeDocument/2006/relationships/connections" Target="connections.xml"/><Relationship Id="rId34" Type="http://schemas.openxmlformats.org/officeDocument/2006/relationships/customXml" Target="../customXml/item9.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31"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b="1">
                <a:solidFill>
                  <a:srgbClr val="FFFF00"/>
                </a:solidFill>
              </a:rPr>
              <a:t>sales by product category</a:t>
            </a:r>
          </a:p>
        </c:rich>
      </c:tx>
      <c:layout>
        <c:manualLayout>
          <c:xMode val="edge"/>
          <c:yMode val="edge"/>
          <c:x val="0.20083333333333334"/>
          <c:y val="3.990694345025053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c:spPr>
        <c:marker>
          <c:symbol val="none"/>
        </c:marker>
        <c:dLbl>
          <c:idx val="0"/>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c:f>
              <c:strCache>
                <c:ptCount val="1"/>
                <c:pt idx="0">
                  <c:v>Total</c:v>
                </c:pt>
              </c:strCache>
            </c:strRef>
          </c:tx>
          <c:spPr>
            <a:pattFill prst="ltUpDiag">
              <a:fgClr>
                <a:schemeClr val="accent5"/>
              </a:fgClr>
              <a:bgClr>
                <a:schemeClr val="lt1"/>
              </a:bgClr>
            </a:pattFill>
            <a:ln>
              <a:noFill/>
            </a:ln>
            <a:effectLst/>
          </c:spPr>
          <c:invertIfNegative val="0"/>
          <c:dLbls>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Sheet1!$B$5:$B$9</c:f>
              <c:strCache>
                <c:ptCount val="4"/>
                <c:pt idx="0">
                  <c:v>Electronics</c:v>
                </c:pt>
                <c:pt idx="1">
                  <c:v>Fashion</c:v>
                </c:pt>
                <c:pt idx="2">
                  <c:v>Grocery</c:v>
                </c:pt>
                <c:pt idx="3">
                  <c:v>Home</c:v>
                </c:pt>
              </c:strCache>
            </c:strRef>
          </c:cat>
          <c:val>
            <c:numRef>
              <c:f>Sheet1!$C$5:$C$9</c:f>
              <c:numCache>
                <c:formatCode>_ [$₹-4009]\ * #,##0_ ;_ [$₹-4009]\ * \-#,##0_ ;_ [$₹-4009]\ * "-"??_ ;_ @_ </c:formatCode>
                <c:ptCount val="4"/>
                <c:pt idx="0">
                  <c:v>2417192.15</c:v>
                </c:pt>
                <c:pt idx="1">
                  <c:v>3506103.15</c:v>
                </c:pt>
                <c:pt idx="2">
                  <c:v>1978079.9</c:v>
                </c:pt>
                <c:pt idx="3">
                  <c:v>2253398.0499999998</c:v>
                </c:pt>
              </c:numCache>
            </c:numRef>
          </c:val>
          <c:extLst>
            <c:ext xmlns:c16="http://schemas.microsoft.com/office/drawing/2014/chart" uri="{C3380CC4-5D6E-409C-BE32-E72D297353CC}">
              <c16:uniqueId val="{00000005-9359-44DC-81D0-6626F50047D8}"/>
            </c:ext>
          </c:extLst>
        </c:ser>
        <c:dLbls>
          <c:dLblPos val="outEnd"/>
          <c:showLegendKey val="0"/>
          <c:showVal val="1"/>
          <c:showCatName val="0"/>
          <c:showSerName val="0"/>
          <c:showPercent val="0"/>
          <c:showBubbleSize val="0"/>
        </c:dLbls>
        <c:gapWidth val="269"/>
        <c:overlap val="-20"/>
        <c:axId val="469065888"/>
        <c:axId val="469082688"/>
      </c:barChart>
      <c:catAx>
        <c:axId val="46906588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product category</a:t>
                </a:r>
              </a:p>
            </c:rich>
          </c:tx>
          <c:layout>
            <c:manualLayout>
              <c:xMode val="edge"/>
              <c:yMode val="edge"/>
              <c:x val="0.34949650043744529"/>
              <c:y val="0.887433786685755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9082688"/>
        <c:crosses val="autoZero"/>
        <c:auto val="1"/>
        <c:lblAlgn val="ctr"/>
        <c:lblOffset val="100"/>
        <c:noMultiLvlLbl val="0"/>
      </c:catAx>
      <c:valAx>
        <c:axId val="469082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sum</a:t>
                </a:r>
                <a:r>
                  <a:rPr lang="en-IN" sz="1400" baseline="0"/>
                  <a:t> of sales</a:t>
                </a:r>
              </a:p>
            </c:rich>
          </c:tx>
          <c:layout>
            <c:manualLayout>
              <c:xMode val="edge"/>
              <c:yMode val="edge"/>
              <c:x val="1.9444444444444445E-2"/>
              <c:y val="0.355779885468861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906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rgbClr val="FFFF00"/>
                </a:solidFill>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Sheet1!$C$18</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Sheet1!$B$19:$B$31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Sheet1!$C$19:$C$31</c:f>
              <c:numCache>
                <c:formatCode>General</c:formatCode>
                <c:ptCount val="12"/>
                <c:pt idx="0">
                  <c:v>860267.55</c:v>
                </c:pt>
                <c:pt idx="1">
                  <c:v>1587187.45</c:v>
                </c:pt>
                <c:pt idx="2">
                  <c:v>1093894.7</c:v>
                </c:pt>
                <c:pt idx="3">
                  <c:v>782525.35</c:v>
                </c:pt>
                <c:pt idx="4">
                  <c:v>303976.8</c:v>
                </c:pt>
                <c:pt idx="5">
                  <c:v>722065.75</c:v>
                </c:pt>
                <c:pt idx="6">
                  <c:v>477944.55</c:v>
                </c:pt>
                <c:pt idx="7">
                  <c:v>585936.9</c:v>
                </c:pt>
                <c:pt idx="8">
                  <c:v>882808.55</c:v>
                </c:pt>
                <c:pt idx="9">
                  <c:v>747396.7</c:v>
                </c:pt>
                <c:pt idx="10">
                  <c:v>957563.35</c:v>
                </c:pt>
                <c:pt idx="11">
                  <c:v>1153205.6000000001</c:v>
                </c:pt>
              </c:numCache>
            </c:numRef>
          </c:val>
          <c:smooth val="0"/>
          <c:extLst>
            <c:ext xmlns:c16="http://schemas.microsoft.com/office/drawing/2014/chart" uri="{C3380CC4-5D6E-409C-BE32-E72D297353CC}">
              <c16:uniqueId val="{00000005-02A2-42BC-93DF-2537B8C5DCC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69111488"/>
        <c:axId val="469099968"/>
      </c:lineChart>
      <c:catAx>
        <c:axId val="469111488"/>
        <c:scaling>
          <c:orientation val="minMax"/>
        </c:scaling>
        <c:delete val="0"/>
        <c:axPos val="b"/>
        <c:title>
          <c:tx>
            <c:rich>
              <a:bodyPr rot="0" spcFirstLastPara="1" vertOverflow="ellipsis" vert="horz" wrap="square" anchor="ctr" anchorCtr="1"/>
              <a:lstStyle/>
              <a:p>
                <a:pPr lvl="1" algn="r" rtl="0">
                  <a:defRPr sz="900" b="1" i="0" u="none" strike="noStrike" kern="1200" baseline="0">
                    <a:solidFill>
                      <a:sysClr val="window" lastClr="FFFFFF"/>
                    </a:solidFill>
                    <a:latin typeface="+mn-lt"/>
                    <a:ea typeface="+mn-ea"/>
                    <a:cs typeface="+mn-cs"/>
                  </a:defRPr>
                </a:pPr>
                <a:r>
                  <a:rPr lang="en-IN" sz="1400" i="0"/>
                  <a:t>order date</a:t>
                </a:r>
              </a:p>
            </c:rich>
          </c:tx>
          <c:layout>
            <c:manualLayout>
              <c:xMode val="edge"/>
              <c:yMode val="edge"/>
              <c:x val="0.40124168853893261"/>
              <c:y val="0.88140909090909092"/>
            </c:manualLayout>
          </c:layout>
          <c:overlay val="0"/>
          <c:spPr>
            <a:noFill/>
            <a:ln>
              <a:noFill/>
            </a:ln>
            <a:effectLst/>
          </c:spPr>
          <c:txPr>
            <a:bodyPr rot="0" spcFirstLastPara="1" vertOverflow="ellipsis" vert="horz" wrap="square" anchor="ctr" anchorCtr="1"/>
            <a:lstStyle/>
            <a:p>
              <a:pPr lvl="1" algn="r" rtl="0">
                <a:defRPr sz="900" b="1" i="0" u="none" strike="noStrike" kern="1200" baseline="0">
                  <a:solidFill>
                    <a:sysClr val="window" lastClr="FFFFFF"/>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69099968"/>
        <c:crosses val="autoZero"/>
        <c:auto val="1"/>
        <c:lblAlgn val="ctr"/>
        <c:lblOffset val="100"/>
        <c:noMultiLvlLbl val="0"/>
      </c:catAx>
      <c:valAx>
        <c:axId val="4690999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sum of sales</a:t>
                </a:r>
              </a:p>
            </c:rich>
          </c:tx>
          <c:layout>
            <c:manualLayout>
              <c:xMode val="edge"/>
              <c:yMode val="edge"/>
              <c:x val="1.3888888888888888E-2"/>
              <c:y val="0.2992652111667859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91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rgbClr val="FFFF00"/>
                </a:solidFill>
              </a:rPr>
              <a:t>ANALYSIS OF TOP 10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c:spPr>
        <c:marker>
          <c:symbol val="none"/>
        </c:marker>
        <c:dLbl>
          <c:idx val="0"/>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Sheet1!$C$34</c:f>
              <c:strCache>
                <c:ptCount val="1"/>
                <c:pt idx="0">
                  <c:v>Total</c:v>
                </c:pt>
              </c:strCache>
            </c:strRef>
          </c:tx>
          <c:spPr>
            <a:pattFill prst="ltUpDiag">
              <a:fgClr>
                <a:schemeClr val="accent5"/>
              </a:fgClr>
              <a:bgClr>
                <a:schemeClr val="lt1"/>
              </a:bgClr>
            </a:pattFill>
            <a:ln>
              <a:noFill/>
            </a:ln>
            <a:effectLst/>
          </c:spPr>
          <c:invertIfNegative val="0"/>
          <c:cat>
            <c:strRef>
              <c:f>Sheet1!$B$35:$B$36</c:f>
              <c:strCache>
                <c:ptCount val="1"/>
                <c:pt idx="0">
                  <c:v>Shirt</c:v>
                </c:pt>
              </c:strCache>
            </c:strRef>
          </c:cat>
          <c:val>
            <c:numRef>
              <c:f>Sheet1!$C$35:$C$36</c:f>
              <c:numCache>
                <c:formatCode>General</c:formatCode>
                <c:ptCount val="1"/>
                <c:pt idx="0">
                  <c:v>2044628.55</c:v>
                </c:pt>
              </c:numCache>
            </c:numRef>
          </c:val>
          <c:extLst>
            <c:ext xmlns:c16="http://schemas.microsoft.com/office/drawing/2014/chart" uri="{C3380CC4-5D6E-409C-BE32-E72D297353CC}">
              <c16:uniqueId val="{00000005-597B-4256-979F-9A8CBB5B8E95}"/>
            </c:ext>
          </c:extLst>
        </c:ser>
        <c:dLbls>
          <c:showLegendKey val="0"/>
          <c:showVal val="0"/>
          <c:showCatName val="0"/>
          <c:showSerName val="0"/>
          <c:showPercent val="0"/>
          <c:showBubbleSize val="0"/>
        </c:dLbls>
        <c:gapWidth val="269"/>
        <c:overlap val="-20"/>
        <c:axId val="469098048"/>
        <c:axId val="469108608"/>
      </c:barChart>
      <c:catAx>
        <c:axId val="4690980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product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9108608"/>
        <c:crosses val="autoZero"/>
        <c:auto val="1"/>
        <c:lblAlgn val="ctr"/>
        <c:lblOffset val="100"/>
        <c:noMultiLvlLbl val="0"/>
      </c:catAx>
      <c:valAx>
        <c:axId val="46910860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sum of 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909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rgbClr val="FFFF00"/>
                </a:solidFill>
              </a:rPr>
              <a:t>PROFIT BY STATE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c:spPr>
        <c:marker>
          <c:symbol val="none"/>
        </c:marker>
        <c:dLbl>
          <c:idx val="0"/>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Sheet1!$C$50</c:f>
              <c:strCache>
                <c:ptCount val="1"/>
                <c:pt idx="0">
                  <c:v>Total</c:v>
                </c:pt>
              </c:strCache>
            </c:strRef>
          </c:tx>
          <c:spPr>
            <a:pattFill prst="ltUpDiag">
              <a:fgClr>
                <a:schemeClr val="accent5"/>
              </a:fgClr>
              <a:bgClr>
                <a:schemeClr val="lt1"/>
              </a:bgClr>
            </a:pattFill>
            <a:ln>
              <a:noFill/>
            </a:ln>
            <a:effectLst/>
          </c:spPr>
          <c:invertIfNegative val="0"/>
          <c:dLbls>
            <c:spPr>
              <a:solidFill>
                <a:srgbClr val="4BACC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Sheet1!$B$51:$B$56</c:f>
              <c:strCache>
                <c:ptCount val="5"/>
                <c:pt idx="0">
                  <c:v>Delhi</c:v>
                </c:pt>
                <c:pt idx="1">
                  <c:v>Karnataka</c:v>
                </c:pt>
                <c:pt idx="2">
                  <c:v>Maharashtra</c:v>
                </c:pt>
                <c:pt idx="3">
                  <c:v>Tamil Nadu</c:v>
                </c:pt>
                <c:pt idx="4">
                  <c:v>Telangana</c:v>
                </c:pt>
              </c:strCache>
            </c:strRef>
          </c:cat>
          <c:val>
            <c:numRef>
              <c:f>Sheet1!$C$51:$C$56</c:f>
              <c:numCache>
                <c:formatCode>General</c:formatCode>
                <c:ptCount val="5"/>
                <c:pt idx="0">
                  <c:v>466287.95</c:v>
                </c:pt>
                <c:pt idx="1">
                  <c:v>455026.78</c:v>
                </c:pt>
                <c:pt idx="2">
                  <c:v>213608.76</c:v>
                </c:pt>
                <c:pt idx="3">
                  <c:v>220971.47</c:v>
                </c:pt>
                <c:pt idx="4">
                  <c:v>151399.14000000001</c:v>
                </c:pt>
              </c:numCache>
            </c:numRef>
          </c:val>
          <c:extLst>
            <c:ext xmlns:c16="http://schemas.microsoft.com/office/drawing/2014/chart" uri="{C3380CC4-5D6E-409C-BE32-E72D297353CC}">
              <c16:uniqueId val="{00000004-5F6E-4CFA-AE02-384FD9D2021E}"/>
            </c:ext>
          </c:extLst>
        </c:ser>
        <c:dLbls>
          <c:showLegendKey val="0"/>
          <c:showVal val="1"/>
          <c:showCatName val="0"/>
          <c:showSerName val="0"/>
          <c:showPercent val="0"/>
          <c:showBubbleSize val="0"/>
        </c:dLbls>
        <c:gapWidth val="269"/>
        <c:overlap val="-20"/>
        <c:axId val="469114848"/>
        <c:axId val="469111968"/>
      </c:barChart>
      <c:catAx>
        <c:axId val="4691148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state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9111968"/>
        <c:crosses val="autoZero"/>
        <c:auto val="1"/>
        <c:lblAlgn val="ctr"/>
        <c:lblOffset val="100"/>
        <c:noMultiLvlLbl val="0"/>
      </c:catAx>
      <c:valAx>
        <c:axId val="46911196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1400"/>
                  <a:t>sum of profit</a:t>
                </a:r>
              </a:p>
            </c:rich>
          </c:tx>
          <c:layout>
            <c:manualLayout>
              <c:xMode val="edge"/>
              <c:yMode val="edge"/>
              <c:x val="0.42272790901137364"/>
              <c:y val="0.895045454545454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911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rgbClr val="FFFF00"/>
                </a:solidFill>
              </a:rPr>
              <a:t>CUSTOMER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5"/>
            </a:solidFill>
          </a:ln>
          <a:effectLst/>
        </c:spPr>
      </c:pivotFmt>
      <c:pivotFmt>
        <c:idx val="2"/>
        <c:spPr>
          <a:solidFill>
            <a:schemeClr val="lt1"/>
          </a:solidFill>
          <a:ln w="19050">
            <a:solidFill>
              <a:schemeClr val="accent5"/>
            </a:solidFill>
          </a:ln>
          <a:effectLst/>
        </c:spPr>
      </c:pivotFmt>
    </c:pivotFmts>
    <c:plotArea>
      <c:layout/>
      <c:pieChart>
        <c:varyColors val="1"/>
        <c:ser>
          <c:idx val="0"/>
          <c:order val="0"/>
          <c:tx>
            <c:strRef>
              <c:f>Sheet1!$C$64</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1-565C-4045-8DC6-B2F470C63DA5}"/>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565C-4045-8DC6-B2F470C63D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Sheet1!$B$65:$B$67</c:f>
              <c:strCache>
                <c:ptCount val="2"/>
                <c:pt idx="0">
                  <c:v>Female</c:v>
                </c:pt>
                <c:pt idx="1">
                  <c:v>Male</c:v>
                </c:pt>
              </c:strCache>
            </c:strRef>
          </c:cat>
          <c:val>
            <c:numRef>
              <c:f>Sheet1!$C$65:$C$67</c:f>
              <c:numCache>
                <c:formatCode>General</c:formatCode>
                <c:ptCount val="2"/>
                <c:pt idx="0">
                  <c:v>50</c:v>
                </c:pt>
                <c:pt idx="1">
                  <c:v>50</c:v>
                </c:pt>
              </c:numCache>
            </c:numRef>
          </c:val>
          <c:extLst>
            <c:ext xmlns:c16="http://schemas.microsoft.com/office/drawing/2014/chart" uri="{C3380CC4-5D6E-409C-BE32-E72D297353CC}">
              <c16:uniqueId val="{00000000-C2C0-4E60-A92F-A58BB60F7B26}"/>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rgbClr val="FFFF00"/>
                </a:solidFill>
              </a:rPr>
              <a:t>PAYMENT MODE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5"/>
            </a:solidFill>
          </a:ln>
          <a:effectLst/>
        </c:spPr>
      </c:pivotFmt>
      <c:pivotFmt>
        <c:idx val="2"/>
        <c:spPr>
          <a:solidFill>
            <a:schemeClr val="lt1"/>
          </a:solidFill>
          <a:ln w="19050">
            <a:solidFill>
              <a:schemeClr val="accent5"/>
            </a:solidFill>
          </a:ln>
          <a:effectLst/>
        </c:spPr>
      </c:pivotFmt>
      <c:pivotFmt>
        <c:idx val="3"/>
        <c:spPr>
          <a:solidFill>
            <a:schemeClr val="lt1"/>
          </a:solidFill>
          <a:ln w="19050">
            <a:solidFill>
              <a:schemeClr val="accent5"/>
            </a:solidFill>
          </a:ln>
          <a:effectLst/>
        </c:spPr>
      </c:pivotFmt>
      <c:pivotFmt>
        <c:idx val="4"/>
        <c:spPr>
          <a:solidFill>
            <a:schemeClr val="lt1"/>
          </a:solidFill>
          <a:ln w="19050">
            <a:solidFill>
              <a:schemeClr val="accent5"/>
            </a:solidFill>
          </a:ln>
          <a:effectLst/>
        </c:spPr>
      </c:pivotFmt>
    </c:pivotFmts>
    <c:plotArea>
      <c:layout/>
      <c:pieChart>
        <c:varyColors val="1"/>
        <c:ser>
          <c:idx val="0"/>
          <c:order val="0"/>
          <c:tx>
            <c:strRef>
              <c:f>Sheet1!$C$78</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1-6C22-408D-88B5-459A45980238}"/>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6C22-408D-88B5-459A45980238}"/>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5-6C22-408D-88B5-459A45980238}"/>
              </c:ext>
            </c:extLst>
          </c:dPt>
          <c:dPt>
            <c:idx val="3"/>
            <c:bubble3D val="0"/>
            <c:spPr>
              <a:solidFill>
                <a:schemeClr val="lt1"/>
              </a:solidFill>
              <a:ln w="19050">
                <a:solidFill>
                  <a:schemeClr val="accent5"/>
                </a:solidFill>
              </a:ln>
              <a:effectLst/>
            </c:spPr>
            <c:extLst>
              <c:ext xmlns:c16="http://schemas.microsoft.com/office/drawing/2014/chart" uri="{C3380CC4-5D6E-409C-BE32-E72D297353CC}">
                <c16:uniqueId val="{00000007-6C22-408D-88B5-459A459802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Sheet1!$B$79:$B$83</c:f>
              <c:strCache>
                <c:ptCount val="4"/>
                <c:pt idx="0">
                  <c:v>Cash</c:v>
                </c:pt>
                <c:pt idx="1">
                  <c:v>Credit Card</c:v>
                </c:pt>
                <c:pt idx="2">
                  <c:v>Debit Card</c:v>
                </c:pt>
                <c:pt idx="3">
                  <c:v>UPI</c:v>
                </c:pt>
              </c:strCache>
            </c:strRef>
          </c:cat>
          <c:val>
            <c:numRef>
              <c:f>Sheet1!$C$79:$C$83</c:f>
              <c:numCache>
                <c:formatCode>General</c:formatCode>
                <c:ptCount val="4"/>
                <c:pt idx="0">
                  <c:v>2857906.8</c:v>
                </c:pt>
                <c:pt idx="1">
                  <c:v>3533234.45</c:v>
                </c:pt>
                <c:pt idx="2">
                  <c:v>2002206.45</c:v>
                </c:pt>
                <c:pt idx="3">
                  <c:v>1761425.55</c:v>
                </c:pt>
              </c:numCache>
            </c:numRef>
          </c:val>
          <c:extLst>
            <c:ext xmlns:c16="http://schemas.microsoft.com/office/drawing/2014/chart" uri="{C3380CC4-5D6E-409C-BE32-E72D297353CC}">
              <c16:uniqueId val="{0000000C-4EF7-477D-91F4-AA98D6656634}"/>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[Ecommerce_Sales_Analysis.xlsx]Sheet1!PivotTable1</c:name>
    <c:fmtId val="1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800" b="1">
                <a:latin typeface="+mn-lt"/>
              </a:rPr>
              <a:t>SALES BY PRODUCT CATEGORY</a:t>
            </a:r>
          </a:p>
        </c:rich>
      </c:tx>
      <c:layout>
        <c:manualLayout>
          <c:xMode val="edge"/>
          <c:yMode val="edge"/>
          <c:x val="0.20083333333333334"/>
          <c:y val="3.9906943450250539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Sheet1!$B$5:$B$9</c:f>
              <c:strCache>
                <c:ptCount val="4"/>
                <c:pt idx="0">
                  <c:v>Electronics</c:v>
                </c:pt>
                <c:pt idx="1">
                  <c:v>Fashion</c:v>
                </c:pt>
                <c:pt idx="2">
                  <c:v>Grocery</c:v>
                </c:pt>
                <c:pt idx="3">
                  <c:v>Home</c:v>
                </c:pt>
              </c:strCache>
            </c:strRef>
          </c:cat>
          <c:val>
            <c:numRef>
              <c:f>Sheet1!$C$5:$C$9</c:f>
              <c:numCache>
                <c:formatCode>_ [$₹-4009]\ * #,##0_ ;_ [$₹-4009]\ * \-#,##0_ ;_ [$₹-4009]\ * "-"??_ ;_ @_ </c:formatCode>
                <c:ptCount val="4"/>
                <c:pt idx="0">
                  <c:v>2417192.15</c:v>
                </c:pt>
                <c:pt idx="1">
                  <c:v>3506103.15</c:v>
                </c:pt>
                <c:pt idx="2">
                  <c:v>1978079.9</c:v>
                </c:pt>
                <c:pt idx="3">
                  <c:v>2253398.0499999998</c:v>
                </c:pt>
              </c:numCache>
            </c:numRef>
          </c:val>
          <c:extLst>
            <c:ext xmlns:c16="http://schemas.microsoft.com/office/drawing/2014/chart" uri="{C3380CC4-5D6E-409C-BE32-E72D297353CC}">
              <c16:uniqueId val="{00000005-1C74-44AB-8A93-8AB7D4DC4D4B}"/>
            </c:ext>
          </c:extLst>
        </c:ser>
        <c:dLbls>
          <c:dLblPos val="outEnd"/>
          <c:showLegendKey val="0"/>
          <c:showVal val="1"/>
          <c:showCatName val="0"/>
          <c:showSerName val="0"/>
          <c:showPercent val="0"/>
          <c:showBubbleSize val="0"/>
        </c:dLbls>
        <c:gapWidth val="80"/>
        <c:overlap val="25"/>
        <c:axId val="469065888"/>
        <c:axId val="469082688"/>
      </c:barChart>
      <c:catAx>
        <c:axId val="4690658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69082688"/>
        <c:crosses val="autoZero"/>
        <c:auto val="1"/>
        <c:lblAlgn val="ctr"/>
        <c:lblOffset val="100"/>
        <c:noMultiLvlLbl val="0"/>
      </c:catAx>
      <c:valAx>
        <c:axId val="469082688"/>
        <c:scaling>
          <c:orientation val="minMax"/>
        </c:scaling>
        <c:delete val="0"/>
        <c:axPos val="l"/>
        <c:majorGridlines>
          <c:spPr>
            <a:ln w="9525" cap="flat" cmpd="sng" algn="ctr">
              <a:solidFill>
                <a:schemeClr val="tx1">
                  <a:lumMod val="5000"/>
                  <a:lumOff val="9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6906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[Ecommerce_Sales_Analysis.xlsx]Sheet1!PivotTable1</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by product category</a:t>
            </a:r>
          </a:p>
        </c:rich>
      </c:tx>
      <c:layout>
        <c:manualLayout>
          <c:xMode val="edge"/>
          <c:yMode val="edge"/>
          <c:x val="0.20083333333333334"/>
          <c:y val="3.990694345025053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Sheet1!$B$5:$B$9</c:f>
              <c:strCache>
                <c:ptCount val="4"/>
                <c:pt idx="0">
                  <c:v>Electronics</c:v>
                </c:pt>
                <c:pt idx="1">
                  <c:v>Fashion</c:v>
                </c:pt>
                <c:pt idx="2">
                  <c:v>Grocery</c:v>
                </c:pt>
                <c:pt idx="3">
                  <c:v>Home</c:v>
                </c:pt>
              </c:strCache>
            </c:strRef>
          </c:cat>
          <c:val>
            <c:numRef>
              <c:f>Sheet1!$C$5:$C$9</c:f>
              <c:numCache>
                <c:formatCode>_ [$₹-4009]\ * #,##0_ ;_ [$₹-4009]\ * \-#,##0_ ;_ [$₹-4009]\ * "-"??_ ;_ @_ </c:formatCode>
                <c:ptCount val="4"/>
                <c:pt idx="0">
                  <c:v>2417192.15</c:v>
                </c:pt>
                <c:pt idx="1">
                  <c:v>3506103.15</c:v>
                </c:pt>
                <c:pt idx="2">
                  <c:v>1978079.9</c:v>
                </c:pt>
                <c:pt idx="3">
                  <c:v>2253398.0499999998</c:v>
                </c:pt>
              </c:numCache>
            </c:numRef>
          </c:val>
          <c:extLst>
            <c:ext xmlns:c16="http://schemas.microsoft.com/office/drawing/2014/chart" uri="{C3380CC4-5D6E-409C-BE32-E72D297353CC}">
              <c16:uniqueId val="{00000004-0747-4750-B0C3-361419162DB4}"/>
            </c:ext>
          </c:extLst>
        </c:ser>
        <c:dLbls>
          <c:dLblPos val="outEnd"/>
          <c:showLegendKey val="0"/>
          <c:showVal val="1"/>
          <c:showCatName val="0"/>
          <c:showSerName val="0"/>
          <c:showPercent val="0"/>
          <c:showBubbleSize val="0"/>
        </c:dLbls>
        <c:gapWidth val="100"/>
        <c:overlap val="-24"/>
        <c:axId val="469065888"/>
        <c:axId val="469082688"/>
      </c:barChart>
      <c:catAx>
        <c:axId val="4690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9082688"/>
        <c:crosses val="autoZero"/>
        <c:auto val="1"/>
        <c:lblAlgn val="ctr"/>
        <c:lblOffset val="100"/>
        <c:noMultiLvlLbl val="0"/>
      </c:catAx>
      <c:valAx>
        <c:axId val="4690826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906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Sheet1!$C$18</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Sheet1!$C$19:$C$31</c:f>
              <c:numCache>
                <c:formatCode>General</c:formatCode>
                <c:ptCount val="12"/>
                <c:pt idx="0">
                  <c:v>860267.55</c:v>
                </c:pt>
                <c:pt idx="1">
                  <c:v>1587187.45</c:v>
                </c:pt>
                <c:pt idx="2">
                  <c:v>1093894.7</c:v>
                </c:pt>
                <c:pt idx="3">
                  <c:v>782525.35</c:v>
                </c:pt>
                <c:pt idx="4">
                  <c:v>303976.8</c:v>
                </c:pt>
                <c:pt idx="5">
                  <c:v>722065.75</c:v>
                </c:pt>
                <c:pt idx="6">
                  <c:v>477944.55</c:v>
                </c:pt>
                <c:pt idx="7">
                  <c:v>585936.9</c:v>
                </c:pt>
                <c:pt idx="8">
                  <c:v>882808.55</c:v>
                </c:pt>
                <c:pt idx="9">
                  <c:v>747396.7</c:v>
                </c:pt>
                <c:pt idx="10">
                  <c:v>957563.35</c:v>
                </c:pt>
                <c:pt idx="11">
                  <c:v>1153205.6000000001</c:v>
                </c:pt>
              </c:numCache>
            </c:numRef>
          </c:val>
          <c:smooth val="0"/>
          <c:extLst>
            <c:ext xmlns:c16="http://schemas.microsoft.com/office/drawing/2014/chart" uri="{C3380CC4-5D6E-409C-BE32-E72D297353CC}">
              <c16:uniqueId val="{00000005-011C-4CC7-B613-8E56EECA807C}"/>
            </c:ext>
          </c:extLst>
        </c:ser>
        <c:dLbls>
          <c:showLegendKey val="0"/>
          <c:showVal val="0"/>
          <c:showCatName val="0"/>
          <c:showSerName val="0"/>
          <c:showPercent val="0"/>
          <c:showBubbleSize val="0"/>
        </c:dLbls>
        <c:marker val="1"/>
        <c:smooth val="0"/>
        <c:axId val="469111488"/>
        <c:axId val="469099968"/>
      </c:lineChart>
      <c:catAx>
        <c:axId val="46911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99968"/>
        <c:crosses val="autoZero"/>
        <c:auto val="1"/>
        <c:lblAlgn val="ctr"/>
        <c:lblOffset val="100"/>
        <c:noMultiLvlLbl val="0"/>
      </c:catAx>
      <c:valAx>
        <c:axId val="46909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1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[Ecommerce_Sales_Analysis.xlsx]Sheet1!PivotTable5</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CUSTOMER</a:t>
            </a:r>
            <a:r>
              <a:rPr lang="en-US" baseline="0"/>
              <a:t>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a:noFill/>
          </a:ln>
          <a:effectLst>
            <a:outerShdw blurRad="317500" algn="ctr" rotWithShape="0">
              <a:prstClr val="black">
                <a:alpha val="25000"/>
              </a:prstClr>
            </a:outerShdw>
          </a:effectLst>
        </c:spPr>
        <c:dLbl>
          <c:idx val="0"/>
          <c:layout>
            <c:manualLayout>
              <c:x val="0.10351718299322171"/>
              <c:y val="-0.2224476471009135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5">
              <a:shade val="76000"/>
            </a:schemeClr>
          </a:solidFill>
          <a:ln>
            <a:noFill/>
          </a:ln>
          <a:effectLst>
            <a:outerShdw blurRad="317500" algn="ctr" rotWithShape="0">
              <a:prstClr val="black">
                <a:alpha val="25000"/>
              </a:prstClr>
            </a:outerShdw>
          </a:effectLst>
        </c:spPr>
        <c:dLbl>
          <c:idx val="0"/>
          <c:layout>
            <c:manualLayout>
              <c:x val="-0.12229782657861746"/>
              <c:y val="-0.21298182282813988"/>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fld id="{9738F1F8-F769-439F-B448-4DC86A0EA141}" type="CATEGORYNAME">
                  <a:rPr lang="en-US"/>
                  <a:pPr>
                    <a:defRPr sz="1600">
                      <a:solidFill>
                        <a:schemeClr val="tx1">
                          <a:lumMod val="65000"/>
                          <a:lumOff val="35000"/>
                        </a:schemeClr>
                      </a:solidFill>
                    </a:defRPr>
                  </a:pPr>
                  <a:t>[CATEGORY NAME]</a:t>
                </a:fld>
                <a:r>
                  <a:rPr lang="en-US" baseline="0"/>
                  <a:t>, </a:t>
                </a:r>
              </a:p>
              <a:p>
                <a:pPr>
                  <a:defRPr sz="1600">
                    <a:solidFill>
                      <a:schemeClr val="tx1">
                        <a:lumMod val="65000"/>
                        <a:lumOff val="35000"/>
                      </a:schemeClr>
                    </a:solidFill>
                  </a:defRPr>
                </a:pPr>
                <a:fld id="{1A4B92F7-BA7A-4432-BE3C-6522C2D568BA}" type="VALUE">
                  <a:rPr lang="en-US" baseline="0"/>
                  <a:pPr>
                    <a:defRPr sz="1600">
                      <a:solidFill>
                        <a:schemeClr val="tx1">
                          <a:lumMod val="65000"/>
                          <a:lumOff val="35000"/>
                        </a:schemeClr>
                      </a:solidFill>
                    </a:defRPr>
                  </a:pPr>
                  <a:t>[VALUE]</a:t>
                </a:fld>
                <a:r>
                  <a:rPr lang="en-US" baseline="0"/>
                  <a:t>, </a:t>
                </a:r>
                <a:fld id="{639863B8-D063-4B2D-8E40-E4C6B11E48B5}" type="PERCENTAGE">
                  <a:rPr lang="en-US" baseline="0"/>
                  <a:pPr>
                    <a:defRPr sz="1600">
                      <a:solidFill>
                        <a:schemeClr val="tx1">
                          <a:lumMod val="65000"/>
                          <a:lumOff val="3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Sheet1!$C$64</c:f>
              <c:strCache>
                <c:ptCount val="1"/>
                <c:pt idx="0">
                  <c:v>Total</c:v>
                </c:pt>
              </c:strCache>
            </c:strRef>
          </c:tx>
          <c:dPt>
            <c:idx val="0"/>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14-4824-B33D-BD687DEEF8DB}"/>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14-4824-B33D-BD687DEEF8DB}"/>
              </c:ext>
            </c:extLst>
          </c:dPt>
          <c:dLbls>
            <c:dLbl>
              <c:idx val="0"/>
              <c:layout>
                <c:manualLayout>
                  <c:x val="0.10351718299322171"/>
                  <c:y val="-0.2224476471009135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14-4824-B33D-BD687DEEF8DB}"/>
                </c:ext>
              </c:extLst>
            </c:dLbl>
            <c:dLbl>
              <c:idx val="1"/>
              <c:layout>
                <c:manualLayout>
                  <c:x val="-0.12229782657861746"/>
                  <c:y val="-0.21298182282813988"/>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fld id="{9738F1F8-F769-439F-B448-4DC86A0EA141}" type="CATEGORYNAME">
                      <a:rPr lang="en-US"/>
                      <a:pPr>
                        <a:defRPr sz="1600">
                          <a:solidFill>
                            <a:schemeClr val="tx1">
                              <a:lumMod val="65000"/>
                              <a:lumOff val="35000"/>
                            </a:schemeClr>
                          </a:solidFill>
                        </a:defRPr>
                      </a:pPr>
                      <a:t>[CATEGORY NAME]</a:t>
                    </a:fld>
                    <a:r>
                      <a:rPr lang="en-US" baseline="0"/>
                      <a:t>, </a:t>
                    </a:r>
                  </a:p>
                  <a:p>
                    <a:pPr>
                      <a:defRPr sz="1600">
                        <a:solidFill>
                          <a:schemeClr val="tx1">
                            <a:lumMod val="65000"/>
                            <a:lumOff val="35000"/>
                          </a:schemeClr>
                        </a:solidFill>
                      </a:defRPr>
                    </a:pPr>
                    <a:fld id="{1A4B92F7-BA7A-4432-BE3C-6522C2D568BA}" type="VALUE">
                      <a:rPr lang="en-US" baseline="0"/>
                      <a:pPr>
                        <a:defRPr sz="1600">
                          <a:solidFill>
                            <a:schemeClr val="tx1">
                              <a:lumMod val="65000"/>
                              <a:lumOff val="35000"/>
                            </a:schemeClr>
                          </a:solidFill>
                        </a:defRPr>
                      </a:pPr>
                      <a:t>[VALUE]</a:t>
                    </a:fld>
                    <a:r>
                      <a:rPr lang="en-US" baseline="0"/>
                      <a:t>, </a:t>
                    </a:r>
                    <a:fld id="{639863B8-D063-4B2D-8E40-E4C6B11E48B5}" type="PERCENTAGE">
                      <a:rPr lang="en-US" baseline="0"/>
                      <a:pPr>
                        <a:defRPr sz="1600">
                          <a:solidFill>
                            <a:schemeClr val="tx1">
                              <a:lumMod val="65000"/>
                              <a:lumOff val="35000"/>
                            </a:schemeClr>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814-4824-B33D-BD687DEEF8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Sheet1!$B$65:$B$67</c:f>
              <c:strCache>
                <c:ptCount val="2"/>
                <c:pt idx="0">
                  <c:v>Female</c:v>
                </c:pt>
                <c:pt idx="1">
                  <c:v>Male</c:v>
                </c:pt>
              </c:strCache>
            </c:strRef>
          </c:cat>
          <c:val>
            <c:numRef>
              <c:f>Sheet1!$C$65:$C$67</c:f>
              <c:numCache>
                <c:formatCode>General</c:formatCode>
                <c:ptCount val="2"/>
                <c:pt idx="0">
                  <c:v>50</c:v>
                </c:pt>
                <c:pt idx="1">
                  <c:v>50</c:v>
                </c:pt>
              </c:numCache>
            </c:numRef>
          </c:val>
          <c:extLst>
            <c:ext xmlns:c16="http://schemas.microsoft.com/office/drawing/2014/chart" uri="{C3380CC4-5D6E-409C-BE32-E72D297353CC}">
              <c16:uniqueId val="{00000004-5814-4824-B33D-BD687DEEF8DB}"/>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381843143379995"/>
          <c:y val="0.46030190867460108"/>
          <c:w val="0.16939499835108296"/>
          <c:h val="0.19286796097979819"/>
        </c:manualLayout>
      </c:layout>
      <c:overlay val="0"/>
      <c:spPr>
        <a:solidFill>
          <a:schemeClr val="lt1">
            <a:alpha val="78000"/>
          </a:schemeClr>
        </a:solid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[Ecommerce_Sales_Analysis.xlsx]Sheet1!PivotTable3</c:name>
    <c:fmtId val="9"/>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ANALYSIS OF TOP 10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Sheet1!$B$35:$B$36</c:f>
              <c:strCache>
                <c:ptCount val="1"/>
                <c:pt idx="0">
                  <c:v>Shirt</c:v>
                </c:pt>
              </c:strCache>
            </c:strRef>
          </c:cat>
          <c:val>
            <c:numRef>
              <c:f>Sheet1!$C$35:$C$36</c:f>
              <c:numCache>
                <c:formatCode>General</c:formatCode>
                <c:ptCount val="1"/>
                <c:pt idx="0">
                  <c:v>2044628.55</c:v>
                </c:pt>
              </c:numCache>
            </c:numRef>
          </c:val>
          <c:extLst>
            <c:ext xmlns:c16="http://schemas.microsoft.com/office/drawing/2014/chart" uri="{C3380CC4-5D6E-409C-BE32-E72D297353CC}">
              <c16:uniqueId val="{00000005-7AAE-4A0F-AFFF-B0AC8CC131AD}"/>
            </c:ext>
          </c:extLst>
        </c:ser>
        <c:dLbls>
          <c:showLegendKey val="0"/>
          <c:showVal val="0"/>
          <c:showCatName val="0"/>
          <c:showSerName val="0"/>
          <c:showPercent val="0"/>
          <c:showBubbleSize val="0"/>
        </c:dLbls>
        <c:gapWidth val="115"/>
        <c:overlap val="-20"/>
        <c:axId val="469098048"/>
        <c:axId val="469108608"/>
      </c:barChart>
      <c:catAx>
        <c:axId val="469098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108608"/>
        <c:crosses val="autoZero"/>
        <c:auto val="1"/>
        <c:lblAlgn val="ctr"/>
        <c:lblOffset val="100"/>
        <c:noMultiLvlLbl val="0"/>
      </c:catAx>
      <c:valAx>
        <c:axId val="46910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9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[Ecommerce_Sales_Analysis.xlsx]Sheet1!PivotTable6</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MODE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outerShdw blurRad="317500" algn="ctr" rotWithShape="0">
              <a:prstClr val="black">
                <a:alpha val="25000"/>
              </a:prstClr>
            </a:outerShdw>
          </a:effectLst>
        </c:spPr>
        <c:dLbl>
          <c:idx val="0"/>
          <c:layout>
            <c:manualLayout>
              <c:x val="3.1415135608048993E-3"/>
              <c:y val="6.5540709428544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5">
              <a:shade val="86000"/>
            </a:schemeClr>
          </a:solidFill>
          <a:ln>
            <a:noFill/>
          </a:ln>
          <a:effectLst>
            <a:outerShdw blurRad="317500" algn="ctr" rotWithShape="0">
              <a:prstClr val="black">
                <a:alpha val="25000"/>
              </a:prstClr>
            </a:outerShdw>
          </a:effectLst>
        </c:spPr>
        <c:dLbl>
          <c:idx val="0"/>
          <c:layout>
            <c:manualLayout>
              <c:x val="0.15906075790113014"/>
              <c:y val="-2.83629667259334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5">
              <a:tint val="86000"/>
            </a:schemeClr>
          </a:solidFill>
          <a:ln>
            <a:noFill/>
          </a:ln>
          <a:effectLst>
            <a:outerShdw blurRad="317500" algn="ctr" rotWithShape="0">
              <a:prstClr val="black">
                <a:alpha val="25000"/>
              </a:prstClr>
            </a:outerShdw>
          </a:effectLst>
        </c:spPr>
        <c:dLbl>
          <c:idx val="0"/>
          <c:layout>
            <c:manualLayout>
              <c:x val="1.5672111234029628E-3"/>
              <c:y val="0.1851987553975107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5">
              <a:tint val="58000"/>
            </a:schemeClr>
          </a:solidFill>
          <a:ln>
            <a:noFill/>
          </a:ln>
          <a:effectLst>
            <a:outerShdw blurRad="317500" algn="ctr" rotWithShape="0">
              <a:prstClr val="black">
                <a:alpha val="25000"/>
              </a:prstClr>
            </a:outerShdw>
          </a:effectLst>
        </c:spPr>
        <c:dLbl>
          <c:idx val="0"/>
          <c:layout>
            <c:manualLayout>
              <c:x val="-5.4046587926509196E-2"/>
              <c:y val="0.1122775246981143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Sheet1!$C$78</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31-4F7D-823B-2152EB97D2D7}"/>
              </c:ext>
            </c:extLst>
          </c:dPt>
          <c:dPt>
            <c:idx val="1"/>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31-4F7D-823B-2152EB97D2D7}"/>
              </c:ext>
            </c:extLst>
          </c:dPt>
          <c:dPt>
            <c:idx val="2"/>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831-4F7D-823B-2152EB97D2D7}"/>
              </c:ext>
            </c:extLst>
          </c:dPt>
          <c:dPt>
            <c:idx val="3"/>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831-4F7D-823B-2152EB97D2D7}"/>
              </c:ext>
            </c:extLst>
          </c:dPt>
          <c:dLbls>
            <c:dLbl>
              <c:idx val="0"/>
              <c:layout>
                <c:manualLayout>
                  <c:x val="3.1415135608048993E-3"/>
                  <c:y val="6.55407094285447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31-4F7D-823B-2152EB97D2D7}"/>
                </c:ext>
              </c:extLst>
            </c:dLbl>
            <c:dLbl>
              <c:idx val="1"/>
              <c:layout>
                <c:manualLayout>
                  <c:x val="0.15906075790113014"/>
                  <c:y val="-2.836296672593345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31-4F7D-823B-2152EB97D2D7}"/>
                </c:ext>
              </c:extLst>
            </c:dLbl>
            <c:dLbl>
              <c:idx val="2"/>
              <c:layout>
                <c:manualLayout>
                  <c:x val="1.5672111234029628E-3"/>
                  <c:y val="0.1851987553975107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31-4F7D-823B-2152EB97D2D7}"/>
                </c:ext>
              </c:extLst>
            </c:dLbl>
            <c:dLbl>
              <c:idx val="3"/>
              <c:layout>
                <c:manualLayout>
                  <c:x val="-5.4046587926509196E-2"/>
                  <c:y val="0.1122775246981143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831-4F7D-823B-2152EB97D2D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Sheet1!$B$79:$B$83</c:f>
              <c:strCache>
                <c:ptCount val="4"/>
                <c:pt idx="0">
                  <c:v>Cash</c:v>
                </c:pt>
                <c:pt idx="1">
                  <c:v>Credit Card</c:v>
                </c:pt>
                <c:pt idx="2">
                  <c:v>Debit Card</c:v>
                </c:pt>
                <c:pt idx="3">
                  <c:v>UPI</c:v>
                </c:pt>
              </c:strCache>
            </c:strRef>
          </c:cat>
          <c:val>
            <c:numRef>
              <c:f>Sheet1!$C$79:$C$83</c:f>
              <c:numCache>
                <c:formatCode>General</c:formatCode>
                <c:ptCount val="4"/>
                <c:pt idx="0">
                  <c:v>2857906.8</c:v>
                </c:pt>
                <c:pt idx="1">
                  <c:v>3533234.45</c:v>
                </c:pt>
                <c:pt idx="2">
                  <c:v>2002206.45</c:v>
                </c:pt>
                <c:pt idx="3">
                  <c:v>1761425.55</c:v>
                </c:pt>
              </c:numCache>
            </c:numRef>
          </c:val>
          <c:extLst>
            <c:ext xmlns:c16="http://schemas.microsoft.com/office/drawing/2014/chart" uri="{C3380CC4-5D6E-409C-BE32-E72D297353CC}">
              <c16:uniqueId val="{0000000D-A943-45B2-A20E-82C3B5EDA0D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907874015748035"/>
          <c:y val="0.41741647006210403"/>
          <c:w val="0.16675820481117545"/>
          <c:h val="0.2839141478282956"/>
        </c:manualLayout>
      </c:layout>
      <c:overlay val="0"/>
      <c:spPr>
        <a:solidFill>
          <a:schemeClr val="lt1">
            <a:alpha val="78000"/>
          </a:schemeClr>
        </a:solidFill>
        <a:ln>
          <a:noFill/>
        </a:ln>
        <a:effectLst/>
      </c:spPr>
      <c:txPr>
        <a:bodyPr rot="0" spcFirstLastPara="1" vertOverflow="ellipsis" vert="horz" wrap="square" anchor="ctr" anchorCtr="1"/>
        <a:lstStyle/>
        <a:p>
          <a:pPr>
            <a:defRPr sz="96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[Ecommerce_Sales_Analysis.xlsx]Sheet1!PivotTable4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Sheet1!$B$51:$B$56</c:f>
              <c:strCache>
                <c:ptCount val="5"/>
                <c:pt idx="0">
                  <c:v>Delhi</c:v>
                </c:pt>
                <c:pt idx="1">
                  <c:v>Karnataka</c:v>
                </c:pt>
                <c:pt idx="2">
                  <c:v>Maharashtra</c:v>
                </c:pt>
                <c:pt idx="3">
                  <c:v>Tamil Nadu</c:v>
                </c:pt>
                <c:pt idx="4">
                  <c:v>Telangana</c:v>
                </c:pt>
              </c:strCache>
            </c:strRef>
          </c:cat>
          <c:val>
            <c:numRef>
              <c:f>Sheet1!$C$51:$C$56</c:f>
              <c:numCache>
                <c:formatCode>General</c:formatCode>
                <c:ptCount val="5"/>
                <c:pt idx="0">
                  <c:v>466287.95</c:v>
                </c:pt>
                <c:pt idx="1">
                  <c:v>455026.78</c:v>
                </c:pt>
                <c:pt idx="2">
                  <c:v>213608.76</c:v>
                </c:pt>
                <c:pt idx="3">
                  <c:v>220971.47</c:v>
                </c:pt>
                <c:pt idx="4">
                  <c:v>151399.14000000001</c:v>
                </c:pt>
              </c:numCache>
            </c:numRef>
          </c:val>
          <c:extLst>
            <c:ext xmlns:c16="http://schemas.microsoft.com/office/drawing/2014/chart" uri="{C3380CC4-5D6E-409C-BE32-E72D297353CC}">
              <c16:uniqueId val="{00000005-50AF-4582-955E-D4ADE793145B}"/>
            </c:ext>
          </c:extLst>
        </c:ser>
        <c:dLbls>
          <c:showLegendKey val="0"/>
          <c:showVal val="1"/>
          <c:showCatName val="0"/>
          <c:showSerName val="0"/>
          <c:showPercent val="0"/>
          <c:showBubbleSize val="0"/>
        </c:dLbls>
        <c:gapWidth val="182"/>
        <c:axId val="469114848"/>
        <c:axId val="469111968"/>
      </c:barChart>
      <c:catAx>
        <c:axId val="46911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69111968"/>
        <c:crosses val="autoZero"/>
        <c:auto val="1"/>
        <c:lblAlgn val="ctr"/>
        <c:lblOffset val="100"/>
        <c:noMultiLvlLbl val="0"/>
      </c:catAx>
      <c:valAx>
        <c:axId val="469111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11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chart" Target="../charts/chart8.xml"/><Relationship Id="rId16" Type="http://schemas.openxmlformats.org/officeDocument/2006/relationships/image" Target="../media/image9.pn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png"/><Relationship Id="rId5" Type="http://schemas.openxmlformats.org/officeDocument/2006/relationships/chart" Target="../charts/chart11.xml"/><Relationship Id="rId15" Type="http://schemas.openxmlformats.org/officeDocument/2006/relationships/image" Target="../media/image8.png"/><Relationship Id="rId10" Type="http://schemas.openxmlformats.org/officeDocument/2006/relationships/image" Target="../media/image3.svg"/><Relationship Id="rId4" Type="http://schemas.openxmlformats.org/officeDocument/2006/relationships/chart" Target="../charts/chart10.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4</xdr:col>
      <xdr:colOff>846</xdr:colOff>
      <xdr:row>0</xdr:row>
      <xdr:rowOff>0</xdr:rowOff>
    </xdr:from>
    <xdr:to>
      <xdr:col>11</xdr:col>
      <xdr:colOff>305646</xdr:colOff>
      <xdr:row>15</xdr:row>
      <xdr:rowOff>0</xdr:rowOff>
    </xdr:to>
    <xdr:graphicFrame macro="">
      <xdr:nvGraphicFramePr>
        <xdr:cNvPr id="2" name="Chart 1">
          <a:extLst>
            <a:ext uri="{FF2B5EF4-FFF2-40B4-BE49-F238E27FC236}">
              <a16:creationId xmlns:a16="http://schemas.microsoft.com/office/drawing/2014/main" id="{65F6ECAC-E922-0689-E2CA-7EEA7A6F9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4234</xdr:colOff>
      <xdr:row>15</xdr:row>
      <xdr:rowOff>99060</xdr:rowOff>
    </xdr:from>
    <xdr:to>
      <xdr:col>11</xdr:col>
      <xdr:colOff>309034</xdr:colOff>
      <xdr:row>30</xdr:row>
      <xdr:rowOff>99060</xdr:rowOff>
    </xdr:to>
    <xdr:graphicFrame macro="">
      <xdr:nvGraphicFramePr>
        <xdr:cNvPr id="3" name="Chart 2">
          <a:extLst>
            <a:ext uri="{FF2B5EF4-FFF2-40B4-BE49-F238E27FC236}">
              <a16:creationId xmlns:a16="http://schemas.microsoft.com/office/drawing/2014/main" id="{8876245E-B9D8-A1A8-6357-872D3D687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819573</xdr:colOff>
      <xdr:row>31</xdr:row>
      <xdr:rowOff>12700</xdr:rowOff>
    </xdr:from>
    <xdr:to>
      <xdr:col>11</xdr:col>
      <xdr:colOff>294640</xdr:colOff>
      <xdr:row>46</xdr:row>
      <xdr:rowOff>12700</xdr:rowOff>
    </xdr:to>
    <xdr:graphicFrame macro="">
      <xdr:nvGraphicFramePr>
        <xdr:cNvPr id="4" name="Chart 3">
          <a:extLst>
            <a:ext uri="{FF2B5EF4-FFF2-40B4-BE49-F238E27FC236}">
              <a16:creationId xmlns:a16="http://schemas.microsoft.com/office/drawing/2014/main" id="{82814DB9-60A0-FE36-A2D2-9C22D132E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806026</xdr:colOff>
      <xdr:row>47</xdr:row>
      <xdr:rowOff>8467</xdr:rowOff>
    </xdr:from>
    <xdr:to>
      <xdr:col>11</xdr:col>
      <xdr:colOff>281093</xdr:colOff>
      <xdr:row>58</xdr:row>
      <xdr:rowOff>0</xdr:rowOff>
    </xdr:to>
    <xdr:graphicFrame macro="">
      <xdr:nvGraphicFramePr>
        <xdr:cNvPr id="5" name="Chart 4">
          <a:extLst>
            <a:ext uri="{FF2B5EF4-FFF2-40B4-BE49-F238E27FC236}">
              <a16:creationId xmlns:a16="http://schemas.microsoft.com/office/drawing/2014/main" id="{28C03F04-958D-D52A-6C63-42F20F030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799254</xdr:colOff>
      <xdr:row>58</xdr:row>
      <xdr:rowOff>143934</xdr:rowOff>
    </xdr:from>
    <xdr:to>
      <xdr:col>11</xdr:col>
      <xdr:colOff>274321</xdr:colOff>
      <xdr:row>73</xdr:row>
      <xdr:rowOff>143934</xdr:rowOff>
    </xdr:to>
    <xdr:graphicFrame macro="">
      <xdr:nvGraphicFramePr>
        <xdr:cNvPr id="6" name="Chart 5">
          <a:extLst>
            <a:ext uri="{FF2B5EF4-FFF2-40B4-BE49-F238E27FC236}">
              <a16:creationId xmlns:a16="http://schemas.microsoft.com/office/drawing/2014/main" id="{0D638DC1-713B-0509-77C5-3CDB1649C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786553</xdr:colOff>
      <xdr:row>74</xdr:row>
      <xdr:rowOff>95674</xdr:rowOff>
    </xdr:from>
    <xdr:to>
      <xdr:col>11</xdr:col>
      <xdr:colOff>261620</xdr:colOff>
      <xdr:row>89</xdr:row>
      <xdr:rowOff>95674</xdr:rowOff>
    </xdr:to>
    <xdr:graphicFrame macro="">
      <xdr:nvGraphicFramePr>
        <xdr:cNvPr id="7" name="Chart 6">
          <a:extLst>
            <a:ext uri="{FF2B5EF4-FFF2-40B4-BE49-F238E27FC236}">
              <a16:creationId xmlns:a16="http://schemas.microsoft.com/office/drawing/2014/main" id="{03454C2D-347C-EC01-7738-8B2E0186D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579120</xdr:colOff>
      <xdr:row>17</xdr:row>
      <xdr:rowOff>144781</xdr:rowOff>
    </xdr:from>
    <xdr:ext cx="1828800" cy="2466975"/>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A1CAE67A-83EA-9EEF-C260-FE4D01BE7A4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264987" y="33113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102447</xdr:colOff>
      <xdr:row>17</xdr:row>
      <xdr:rowOff>142241</xdr:rowOff>
    </xdr:from>
    <xdr:ext cx="1828800" cy="2466975"/>
    <mc:AlternateContent xmlns:mc="http://schemas.openxmlformats.org/markup-compatibility/2006">
      <mc:Choice xmlns:a14="http://schemas.microsoft.com/office/drawing/2010/main" Requires="a14">
        <xdr:graphicFrame macro="">
          <xdr:nvGraphicFramePr>
            <xdr:cNvPr id="9" name="Product_Category">
              <a:extLst>
                <a:ext uri="{FF2B5EF4-FFF2-40B4-BE49-F238E27FC236}">
                  <a16:creationId xmlns:a16="http://schemas.microsoft.com/office/drawing/2014/main" id="{DF1A09E2-9242-89D9-845C-9C9FB8FEC39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255847" y="330877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557108</xdr:colOff>
      <xdr:row>17</xdr:row>
      <xdr:rowOff>139700</xdr:rowOff>
    </xdr:from>
    <xdr:ext cx="1828800" cy="2466975"/>
    <mc:AlternateContent xmlns:mc="http://schemas.openxmlformats.org/markup-compatibility/2006">
      <mc:Choice xmlns:a14="http://schemas.microsoft.com/office/drawing/2010/main" Requires="a14">
        <xdr:graphicFrame macro="">
          <xdr:nvGraphicFramePr>
            <xdr:cNvPr id="10" name="Payment_Mode">
              <a:extLst>
                <a:ext uri="{FF2B5EF4-FFF2-40B4-BE49-F238E27FC236}">
                  <a16:creationId xmlns:a16="http://schemas.microsoft.com/office/drawing/2014/main" id="{08CBA0D0-AD12-DF05-1D41-67BA778DFA2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2266508" y="330623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19</xdr:col>
      <xdr:colOff>596900</xdr:colOff>
      <xdr:row>35</xdr:row>
      <xdr:rowOff>12700</xdr:rowOff>
    </xdr:from>
    <xdr:to>
      <xdr:col>28</xdr:col>
      <xdr:colOff>114300</xdr:colOff>
      <xdr:row>55</xdr:row>
      <xdr:rowOff>101600</xdr:rowOff>
    </xdr:to>
    <xdr:sp macro="" textlink="">
      <xdr:nvSpPr>
        <xdr:cNvPr id="21" name="Rectangle: Rounded Corners 20">
          <a:extLst>
            <a:ext uri="{FF2B5EF4-FFF2-40B4-BE49-F238E27FC236}">
              <a16:creationId xmlns:a16="http://schemas.microsoft.com/office/drawing/2014/main" id="{C3FC2F2F-142E-4A7D-9B85-FF0DE24FFD72}"/>
            </a:ext>
          </a:extLst>
        </xdr:cNvPr>
        <xdr:cNvSpPr/>
      </xdr:nvSpPr>
      <xdr:spPr>
        <a:xfrm>
          <a:off x="12179300" y="6235700"/>
          <a:ext cx="5003800" cy="36449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584200</xdr:colOff>
      <xdr:row>16</xdr:row>
      <xdr:rowOff>0</xdr:rowOff>
    </xdr:from>
    <xdr:to>
      <xdr:col>28</xdr:col>
      <xdr:colOff>127000</xdr:colOff>
      <xdr:row>34</xdr:row>
      <xdr:rowOff>88900</xdr:rowOff>
    </xdr:to>
    <xdr:sp macro="" textlink="">
      <xdr:nvSpPr>
        <xdr:cNvPr id="18" name="Rectangle: Rounded Corners 17">
          <a:extLst>
            <a:ext uri="{FF2B5EF4-FFF2-40B4-BE49-F238E27FC236}">
              <a16:creationId xmlns:a16="http://schemas.microsoft.com/office/drawing/2014/main" id="{B36D88C7-09E7-4BD6-B0D8-F068C681B18C}"/>
            </a:ext>
          </a:extLst>
        </xdr:cNvPr>
        <xdr:cNvSpPr/>
      </xdr:nvSpPr>
      <xdr:spPr>
        <a:xfrm>
          <a:off x="12166600" y="2844800"/>
          <a:ext cx="5029200" cy="3289300"/>
        </a:xfrm>
        <a:prstGeom prst="roundRect">
          <a:avLst/>
        </a:prstGeom>
        <a:solidFill>
          <a:schemeClr val="accent5">
            <a:lumMod val="40000"/>
            <a:lumOff val="6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482600</xdr:colOff>
      <xdr:row>35</xdr:row>
      <xdr:rowOff>63500</xdr:rowOff>
    </xdr:from>
    <xdr:to>
      <xdr:col>19</xdr:col>
      <xdr:colOff>457200</xdr:colOff>
      <xdr:row>55</xdr:row>
      <xdr:rowOff>88900</xdr:rowOff>
    </xdr:to>
    <xdr:sp macro="" textlink="">
      <xdr:nvSpPr>
        <xdr:cNvPr id="20" name="Rectangle: Rounded Corners 19">
          <a:extLst>
            <a:ext uri="{FF2B5EF4-FFF2-40B4-BE49-F238E27FC236}">
              <a16:creationId xmlns:a16="http://schemas.microsoft.com/office/drawing/2014/main" id="{744B8F7A-92C9-4A31-B9CD-A63378AC00D9}"/>
            </a:ext>
          </a:extLst>
        </xdr:cNvPr>
        <xdr:cNvSpPr/>
      </xdr:nvSpPr>
      <xdr:spPr>
        <a:xfrm>
          <a:off x="7188200" y="6286500"/>
          <a:ext cx="4851400" cy="35814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279400</xdr:colOff>
      <xdr:row>35</xdr:row>
      <xdr:rowOff>38100</xdr:rowOff>
    </xdr:from>
    <xdr:to>
      <xdr:col>11</xdr:col>
      <xdr:colOff>381000</xdr:colOff>
      <xdr:row>55</xdr:row>
      <xdr:rowOff>114300</xdr:rowOff>
    </xdr:to>
    <xdr:sp macro="" textlink="">
      <xdr:nvSpPr>
        <xdr:cNvPr id="19" name="Rectangle: Rounded Corners 18">
          <a:extLst>
            <a:ext uri="{FF2B5EF4-FFF2-40B4-BE49-F238E27FC236}">
              <a16:creationId xmlns:a16="http://schemas.microsoft.com/office/drawing/2014/main" id="{FDA16DB6-9C3E-43E3-8880-A69FE161CF7C}"/>
            </a:ext>
          </a:extLst>
        </xdr:cNvPr>
        <xdr:cNvSpPr/>
      </xdr:nvSpPr>
      <xdr:spPr>
        <a:xfrm>
          <a:off x="2108200" y="6261100"/>
          <a:ext cx="4978400" cy="36322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495300</xdr:colOff>
      <xdr:row>15</xdr:row>
      <xdr:rowOff>165100</xdr:rowOff>
    </xdr:from>
    <xdr:to>
      <xdr:col>19</xdr:col>
      <xdr:colOff>457200</xdr:colOff>
      <xdr:row>34</xdr:row>
      <xdr:rowOff>127000</xdr:rowOff>
    </xdr:to>
    <xdr:sp macro="" textlink="">
      <xdr:nvSpPr>
        <xdr:cNvPr id="17" name="Rectangle: Rounded Corners 16">
          <a:extLst>
            <a:ext uri="{FF2B5EF4-FFF2-40B4-BE49-F238E27FC236}">
              <a16:creationId xmlns:a16="http://schemas.microsoft.com/office/drawing/2014/main" id="{54904008-AF35-43AE-8D32-6E42CD1501DC}"/>
            </a:ext>
          </a:extLst>
        </xdr:cNvPr>
        <xdr:cNvSpPr/>
      </xdr:nvSpPr>
      <xdr:spPr>
        <a:xfrm>
          <a:off x="7200900" y="2832100"/>
          <a:ext cx="4838700" cy="33401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266700</xdr:colOff>
      <xdr:row>15</xdr:row>
      <xdr:rowOff>139700</xdr:rowOff>
    </xdr:from>
    <xdr:to>
      <xdr:col>11</xdr:col>
      <xdr:colOff>393700</xdr:colOff>
      <xdr:row>34</xdr:row>
      <xdr:rowOff>101600</xdr:rowOff>
    </xdr:to>
    <xdr:sp macro="" textlink="">
      <xdr:nvSpPr>
        <xdr:cNvPr id="16" name="Rectangle: Rounded Corners 15">
          <a:extLst>
            <a:ext uri="{FF2B5EF4-FFF2-40B4-BE49-F238E27FC236}">
              <a16:creationId xmlns:a16="http://schemas.microsoft.com/office/drawing/2014/main" id="{7C311364-8F41-7E9B-93D5-FBB110A196DD}"/>
            </a:ext>
          </a:extLst>
        </xdr:cNvPr>
        <xdr:cNvSpPr/>
      </xdr:nvSpPr>
      <xdr:spPr>
        <a:xfrm>
          <a:off x="2095500" y="2806700"/>
          <a:ext cx="5003800" cy="33401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444500</xdr:colOff>
      <xdr:row>16</xdr:row>
      <xdr:rowOff>152400</xdr:rowOff>
    </xdr:from>
    <xdr:to>
      <xdr:col>11</xdr:col>
      <xdr:colOff>215900</xdr:colOff>
      <xdr:row>33</xdr:row>
      <xdr:rowOff>63500</xdr:rowOff>
    </xdr:to>
    <xdr:graphicFrame macro="">
      <xdr:nvGraphicFramePr>
        <xdr:cNvPr id="2" name="Chart 1">
          <a:extLst>
            <a:ext uri="{FF2B5EF4-FFF2-40B4-BE49-F238E27FC236}">
              <a16:creationId xmlns:a16="http://schemas.microsoft.com/office/drawing/2014/main" id="{8E9D8E49-DB68-4CBD-9202-AB8FEED98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12700</xdr:colOff>
      <xdr:row>28</xdr:row>
      <xdr:rowOff>136072</xdr:rowOff>
    </xdr:from>
    <xdr:to>
      <xdr:col>51</xdr:col>
      <xdr:colOff>279400</xdr:colOff>
      <xdr:row>44</xdr:row>
      <xdr:rowOff>9072</xdr:rowOff>
    </xdr:to>
    <xdr:graphicFrame macro="">
      <xdr:nvGraphicFramePr>
        <xdr:cNvPr id="3" name="Chart 2">
          <a:extLst>
            <a:ext uri="{FF2B5EF4-FFF2-40B4-BE49-F238E27FC236}">
              <a16:creationId xmlns:a16="http://schemas.microsoft.com/office/drawing/2014/main" id="{681C50A3-0422-47DE-A428-6385D597C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63499</xdr:colOff>
      <xdr:row>36</xdr:row>
      <xdr:rowOff>165100</xdr:rowOff>
    </xdr:from>
    <xdr:to>
      <xdr:col>27</xdr:col>
      <xdr:colOff>558800</xdr:colOff>
      <xdr:row>53</xdr:row>
      <xdr:rowOff>50799</xdr:rowOff>
    </xdr:to>
    <xdr:graphicFrame macro="">
      <xdr:nvGraphicFramePr>
        <xdr:cNvPr id="6" name="Chart 5">
          <a:extLst>
            <a:ext uri="{FF2B5EF4-FFF2-40B4-BE49-F238E27FC236}">
              <a16:creationId xmlns:a16="http://schemas.microsoft.com/office/drawing/2014/main" id="{6B24EDBF-0B03-49EC-B319-A12BBC2D3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571500</xdr:colOff>
      <xdr:row>17</xdr:row>
      <xdr:rowOff>38100</xdr:rowOff>
    </xdr:from>
    <xdr:to>
      <xdr:col>19</xdr:col>
      <xdr:colOff>368299</xdr:colOff>
      <xdr:row>32</xdr:row>
      <xdr:rowOff>165099</xdr:rowOff>
    </xdr:to>
    <xdr:graphicFrame macro="">
      <xdr:nvGraphicFramePr>
        <xdr:cNvPr id="8" name="Chart 7">
          <a:extLst>
            <a:ext uri="{FF2B5EF4-FFF2-40B4-BE49-F238E27FC236}">
              <a16:creationId xmlns:a16="http://schemas.microsoft.com/office/drawing/2014/main" id="{D45CEE06-BCE4-41A9-9DA0-09A626E16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76200</xdr:colOff>
      <xdr:row>17</xdr:row>
      <xdr:rowOff>58057</xdr:rowOff>
    </xdr:from>
    <xdr:to>
      <xdr:col>27</xdr:col>
      <xdr:colOff>596899</xdr:colOff>
      <xdr:row>32</xdr:row>
      <xdr:rowOff>152400</xdr:rowOff>
    </xdr:to>
    <xdr:graphicFrame macro="">
      <xdr:nvGraphicFramePr>
        <xdr:cNvPr id="9" name="Chart 8">
          <a:extLst>
            <a:ext uri="{FF2B5EF4-FFF2-40B4-BE49-F238E27FC236}">
              <a16:creationId xmlns:a16="http://schemas.microsoft.com/office/drawing/2014/main" id="{5B85BEB0-7363-4218-B74B-06BA0D283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431800</xdr:colOff>
      <xdr:row>36</xdr:row>
      <xdr:rowOff>50800</xdr:rowOff>
    </xdr:from>
    <xdr:to>
      <xdr:col>11</xdr:col>
      <xdr:colOff>165100</xdr:colOff>
      <xdr:row>54</xdr:row>
      <xdr:rowOff>0</xdr:rowOff>
    </xdr:to>
    <xdr:graphicFrame macro="">
      <xdr:nvGraphicFramePr>
        <xdr:cNvPr id="10" name="Chart 9">
          <a:extLst>
            <a:ext uri="{FF2B5EF4-FFF2-40B4-BE49-F238E27FC236}">
              <a16:creationId xmlns:a16="http://schemas.microsoft.com/office/drawing/2014/main" id="{A5B07446-A01D-4CBF-81FC-283FAEDC0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190500</xdr:colOff>
      <xdr:row>0</xdr:row>
      <xdr:rowOff>139700</xdr:rowOff>
    </xdr:from>
    <xdr:to>
      <xdr:col>3</xdr:col>
      <xdr:colOff>177800</xdr:colOff>
      <xdr:row>55</xdr:row>
      <xdr:rowOff>139700</xdr:rowOff>
    </xdr:to>
    <xdr:sp macro="" textlink="">
      <xdr:nvSpPr>
        <xdr:cNvPr id="7" name="Rectangle: Rounded Corners 6">
          <a:extLst>
            <a:ext uri="{FF2B5EF4-FFF2-40B4-BE49-F238E27FC236}">
              <a16:creationId xmlns:a16="http://schemas.microsoft.com/office/drawing/2014/main" id="{9FD29512-6CAF-A542-669B-198513577301}"/>
            </a:ext>
          </a:extLst>
        </xdr:cNvPr>
        <xdr:cNvSpPr/>
      </xdr:nvSpPr>
      <xdr:spPr>
        <a:xfrm>
          <a:off x="190500" y="139700"/>
          <a:ext cx="1816100" cy="97790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279400</xdr:colOff>
      <xdr:row>1</xdr:row>
      <xdr:rowOff>12700</xdr:rowOff>
    </xdr:from>
    <xdr:to>
      <xdr:col>28</xdr:col>
      <xdr:colOff>152400</xdr:colOff>
      <xdr:row>6</xdr:row>
      <xdr:rowOff>63500</xdr:rowOff>
    </xdr:to>
    <xdr:sp macro="" textlink="">
      <xdr:nvSpPr>
        <xdr:cNvPr id="11" name="Rectangle: Rounded Corners 10">
          <a:extLst>
            <a:ext uri="{FF2B5EF4-FFF2-40B4-BE49-F238E27FC236}">
              <a16:creationId xmlns:a16="http://schemas.microsoft.com/office/drawing/2014/main" id="{891D610C-0CC8-90E5-8176-FC8D36364B51}"/>
            </a:ext>
          </a:extLst>
        </xdr:cNvPr>
        <xdr:cNvSpPr/>
      </xdr:nvSpPr>
      <xdr:spPr>
        <a:xfrm>
          <a:off x="2108200" y="190500"/>
          <a:ext cx="15113000" cy="9398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accent5">
                  <a:lumMod val="50000"/>
                </a:schemeClr>
              </a:solidFill>
              <a:latin typeface="Arial Rounded MT Bold" panose="020F0704030504030204" pitchFamily="34" charset="0"/>
            </a:rPr>
            <a:t>E-Commerce Sales Analysis Dashboard </a:t>
          </a:r>
        </a:p>
      </xdr:txBody>
    </xdr:sp>
    <xdr:clientData/>
  </xdr:twoCellAnchor>
  <xdr:twoCellAnchor>
    <xdr:from>
      <xdr:col>3</xdr:col>
      <xdr:colOff>279400</xdr:colOff>
      <xdr:row>6</xdr:row>
      <xdr:rowOff>139700</xdr:rowOff>
    </xdr:from>
    <xdr:to>
      <xdr:col>9</xdr:col>
      <xdr:colOff>215900</xdr:colOff>
      <xdr:row>15</xdr:row>
      <xdr:rowOff>38100</xdr:rowOff>
    </xdr:to>
    <xdr:sp macro="" textlink="">
      <xdr:nvSpPr>
        <xdr:cNvPr id="12" name="Rectangle: Rounded Corners 11">
          <a:extLst>
            <a:ext uri="{FF2B5EF4-FFF2-40B4-BE49-F238E27FC236}">
              <a16:creationId xmlns:a16="http://schemas.microsoft.com/office/drawing/2014/main" id="{BA1929BE-05A2-1FD8-DABF-34956AB2D1E9}"/>
            </a:ext>
          </a:extLst>
        </xdr:cNvPr>
        <xdr:cNvSpPr/>
      </xdr:nvSpPr>
      <xdr:spPr>
        <a:xfrm>
          <a:off x="2108200" y="1206500"/>
          <a:ext cx="3594100" cy="14986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latin typeface="Times New Roman" panose="02020603050405020304" pitchFamily="18" charset="0"/>
              <a:cs typeface="Times New Roman" panose="02020603050405020304" pitchFamily="18" charset="0"/>
            </a:rPr>
            <a:t>Total</a:t>
          </a:r>
          <a:r>
            <a:rPr lang="en-IN" sz="2800" b="1" baseline="0">
              <a:solidFill>
                <a:schemeClr val="accent5">
                  <a:lumMod val="50000"/>
                </a:schemeClr>
              </a:solidFill>
              <a:latin typeface="Times New Roman" panose="02020603050405020304" pitchFamily="18" charset="0"/>
              <a:cs typeface="Times New Roman" panose="02020603050405020304" pitchFamily="18" charset="0"/>
            </a:rPr>
            <a:t> Sales</a:t>
          </a:r>
          <a:endParaRPr lang="en-IN" sz="2800" b="1">
            <a:solidFill>
              <a:schemeClr val="accent5">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292100</xdr:colOff>
      <xdr:row>6</xdr:row>
      <xdr:rowOff>165100</xdr:rowOff>
    </xdr:from>
    <xdr:to>
      <xdr:col>15</xdr:col>
      <xdr:colOff>203200</xdr:colOff>
      <xdr:row>15</xdr:row>
      <xdr:rowOff>50800</xdr:rowOff>
    </xdr:to>
    <xdr:sp macro="" textlink="">
      <xdr:nvSpPr>
        <xdr:cNvPr id="13" name="Rectangle: Rounded Corners 12">
          <a:extLst>
            <a:ext uri="{FF2B5EF4-FFF2-40B4-BE49-F238E27FC236}">
              <a16:creationId xmlns:a16="http://schemas.microsoft.com/office/drawing/2014/main" id="{CCB59EAB-7649-4786-A754-5BBC2792334C}"/>
            </a:ext>
          </a:extLst>
        </xdr:cNvPr>
        <xdr:cNvSpPr/>
      </xdr:nvSpPr>
      <xdr:spPr>
        <a:xfrm>
          <a:off x="5778500" y="1231900"/>
          <a:ext cx="3568700" cy="14859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latin typeface="Times New Roman" panose="02020603050405020304" pitchFamily="18" charset="0"/>
              <a:cs typeface="Times New Roman" panose="02020603050405020304" pitchFamily="18" charset="0"/>
            </a:rPr>
            <a:t>Total</a:t>
          </a:r>
          <a:r>
            <a:rPr lang="en-IN" sz="2400" b="1">
              <a:solidFill>
                <a:schemeClr val="accent5">
                  <a:lumMod val="50000"/>
                </a:schemeClr>
              </a:solidFill>
              <a:latin typeface="Times New Roman" panose="02020603050405020304" pitchFamily="18" charset="0"/>
              <a:cs typeface="Times New Roman" panose="02020603050405020304" pitchFamily="18" charset="0"/>
            </a:rPr>
            <a:t> </a:t>
          </a:r>
          <a:r>
            <a:rPr lang="en-IN" sz="2800" b="1">
              <a:solidFill>
                <a:schemeClr val="accent5">
                  <a:lumMod val="50000"/>
                </a:schemeClr>
              </a:solidFill>
              <a:latin typeface="Times New Roman" panose="02020603050405020304" pitchFamily="18" charset="0"/>
              <a:cs typeface="Times New Roman" panose="02020603050405020304" pitchFamily="18" charset="0"/>
            </a:rPr>
            <a:t>Orders</a:t>
          </a:r>
          <a:endParaRPr lang="en-IN" sz="2400" b="1">
            <a:solidFill>
              <a:schemeClr val="accent5">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304800</xdr:colOff>
      <xdr:row>7</xdr:row>
      <xdr:rowOff>0</xdr:rowOff>
    </xdr:from>
    <xdr:to>
      <xdr:col>21</xdr:col>
      <xdr:colOff>457200</xdr:colOff>
      <xdr:row>15</xdr:row>
      <xdr:rowOff>63500</xdr:rowOff>
    </xdr:to>
    <xdr:sp macro="" textlink="">
      <xdr:nvSpPr>
        <xdr:cNvPr id="14" name="Rectangle: Rounded Corners 13">
          <a:extLst>
            <a:ext uri="{FF2B5EF4-FFF2-40B4-BE49-F238E27FC236}">
              <a16:creationId xmlns:a16="http://schemas.microsoft.com/office/drawing/2014/main" id="{98C2276C-5069-4FC3-860B-B72E6F298481}"/>
            </a:ext>
          </a:extLst>
        </xdr:cNvPr>
        <xdr:cNvSpPr/>
      </xdr:nvSpPr>
      <xdr:spPr>
        <a:xfrm>
          <a:off x="9448800" y="1244600"/>
          <a:ext cx="3810000" cy="1485900"/>
        </a:xfrm>
        <a:prstGeom prst="roundRect">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latin typeface="Times New Roman" panose="02020603050405020304" pitchFamily="18" charset="0"/>
              <a:cs typeface="Times New Roman" panose="02020603050405020304" pitchFamily="18" charset="0"/>
            </a:rPr>
            <a:t>Total Pr</a:t>
          </a:r>
          <a:r>
            <a:rPr lang="en-IN" sz="3200" b="1">
              <a:solidFill>
                <a:schemeClr val="accent5">
                  <a:lumMod val="50000"/>
                </a:schemeClr>
              </a:solidFill>
              <a:latin typeface="Times New Roman" panose="02020603050405020304" pitchFamily="18" charset="0"/>
              <a:cs typeface="Times New Roman" panose="02020603050405020304" pitchFamily="18" charset="0"/>
            </a:rPr>
            <a:t>o</a:t>
          </a:r>
          <a:r>
            <a:rPr lang="en-IN" sz="2800" b="1">
              <a:solidFill>
                <a:schemeClr val="accent5">
                  <a:lumMod val="50000"/>
                </a:schemeClr>
              </a:solidFill>
              <a:latin typeface="Times New Roman" panose="02020603050405020304" pitchFamily="18" charset="0"/>
              <a:cs typeface="Times New Roman" panose="02020603050405020304" pitchFamily="18" charset="0"/>
            </a:rPr>
            <a:t>fit</a:t>
          </a:r>
        </a:p>
      </xdr:txBody>
    </xdr:sp>
    <xdr:clientData/>
  </xdr:twoCellAnchor>
  <xdr:twoCellAnchor>
    <xdr:from>
      <xdr:col>21</xdr:col>
      <xdr:colOff>571500</xdr:colOff>
      <xdr:row>6</xdr:row>
      <xdr:rowOff>165100</xdr:rowOff>
    </xdr:from>
    <xdr:to>
      <xdr:col>28</xdr:col>
      <xdr:colOff>152400</xdr:colOff>
      <xdr:row>15</xdr:row>
      <xdr:rowOff>38100</xdr:rowOff>
    </xdr:to>
    <xdr:sp macro="" textlink="">
      <xdr:nvSpPr>
        <xdr:cNvPr id="15" name="Rectangle: Rounded Corners 14">
          <a:extLst>
            <a:ext uri="{FF2B5EF4-FFF2-40B4-BE49-F238E27FC236}">
              <a16:creationId xmlns:a16="http://schemas.microsoft.com/office/drawing/2014/main" id="{B9DC6FFA-ED88-4938-A2DE-A6EC0BC60820}"/>
            </a:ext>
          </a:extLst>
        </xdr:cNvPr>
        <xdr:cNvSpPr/>
      </xdr:nvSpPr>
      <xdr:spPr>
        <a:xfrm>
          <a:off x="13373100" y="1231900"/>
          <a:ext cx="3848100" cy="1473200"/>
        </a:xfrm>
        <a:prstGeom prst="roundRect">
          <a:avLst/>
        </a:prstGeom>
        <a:solidFill>
          <a:schemeClr val="accent5">
            <a:lumMod val="40000"/>
            <a:lumOff val="6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latin typeface="Times New Roman" panose="02020603050405020304" pitchFamily="18" charset="0"/>
              <a:cs typeface="Times New Roman" panose="02020603050405020304" pitchFamily="18" charset="0"/>
            </a:rPr>
            <a:t>Top</a:t>
          </a:r>
          <a:r>
            <a:rPr lang="en-IN" sz="2800" b="1" baseline="0">
              <a:solidFill>
                <a:schemeClr val="accent5">
                  <a:lumMod val="50000"/>
                </a:schemeClr>
              </a:solidFill>
              <a:latin typeface="Times New Roman" panose="02020603050405020304" pitchFamily="18" charset="0"/>
              <a:cs typeface="Times New Roman" panose="02020603050405020304" pitchFamily="18" charset="0"/>
            </a:rPr>
            <a:t> Product</a:t>
          </a:r>
          <a:endParaRPr lang="en-IN" sz="2800" b="1">
            <a:solidFill>
              <a:schemeClr val="accent5">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571500</xdr:colOff>
      <xdr:row>36</xdr:row>
      <xdr:rowOff>152400</xdr:rowOff>
    </xdr:from>
    <xdr:to>
      <xdr:col>19</xdr:col>
      <xdr:colOff>355600</xdr:colOff>
      <xdr:row>53</xdr:row>
      <xdr:rowOff>63500</xdr:rowOff>
    </xdr:to>
    <xdr:graphicFrame macro="">
      <xdr:nvGraphicFramePr>
        <xdr:cNvPr id="22" name="Chart 21">
          <a:extLst>
            <a:ext uri="{FF2B5EF4-FFF2-40B4-BE49-F238E27FC236}">
              <a16:creationId xmlns:a16="http://schemas.microsoft.com/office/drawing/2014/main" id="{17D70FD9-348E-4906-9408-A7964F960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266700</xdr:colOff>
      <xdr:row>7</xdr:row>
      <xdr:rowOff>114300</xdr:rowOff>
    </xdr:from>
    <xdr:to>
      <xdr:col>21</xdr:col>
      <xdr:colOff>381000</xdr:colOff>
      <xdr:row>14</xdr:row>
      <xdr:rowOff>114300</xdr:rowOff>
    </xdr:to>
    <xdr:pic>
      <xdr:nvPicPr>
        <xdr:cNvPr id="28" name="Picture 27">
          <a:extLst>
            <a:ext uri="{FF2B5EF4-FFF2-40B4-BE49-F238E27FC236}">
              <a16:creationId xmlns:a16="http://schemas.microsoft.com/office/drawing/2014/main" id="{138D3AE5-DA66-3958-2AC4-B25AE2B51EBE}"/>
            </a:ext>
          </a:extLst>
        </xdr:cNvPr>
        <xdr:cNvPicPr>
          <a:picLocks noChangeAspect="1"/>
        </xdr:cNvPicPr>
      </xdr:nvPicPr>
      <xdr:blipFill>
        <a:blip xmlns:r="http://schemas.openxmlformats.org/officeDocument/2006/relationships" r:embed="rId8"/>
        <a:stretch>
          <a:fillRect/>
        </a:stretch>
      </xdr:blipFill>
      <xdr:spPr>
        <a:xfrm>
          <a:off x="11239500" y="1358900"/>
          <a:ext cx="1943100" cy="1244600"/>
        </a:xfrm>
        <a:prstGeom prst="rect">
          <a:avLst/>
        </a:prstGeom>
      </xdr:spPr>
    </xdr:pic>
    <xdr:clientData/>
  </xdr:twoCellAnchor>
  <xdr:twoCellAnchor editAs="oneCell">
    <xdr:from>
      <xdr:col>26</xdr:col>
      <xdr:colOff>25400</xdr:colOff>
      <xdr:row>7</xdr:row>
      <xdr:rowOff>139700</xdr:rowOff>
    </xdr:from>
    <xdr:to>
      <xdr:col>27</xdr:col>
      <xdr:colOff>520700</xdr:colOff>
      <xdr:row>13</xdr:row>
      <xdr:rowOff>127000</xdr:rowOff>
    </xdr:to>
    <xdr:pic>
      <xdr:nvPicPr>
        <xdr:cNvPr id="38" name="Graphic 37" descr="Star with solid fill">
          <a:extLst>
            <a:ext uri="{FF2B5EF4-FFF2-40B4-BE49-F238E27FC236}">
              <a16:creationId xmlns:a16="http://schemas.microsoft.com/office/drawing/2014/main" id="{BB02017E-33C5-3735-8BDE-87E7F91EC99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875000" y="1384300"/>
          <a:ext cx="1104900" cy="1054100"/>
        </a:xfrm>
        <a:prstGeom prst="rect">
          <a:avLst/>
        </a:prstGeom>
        <a:scene3d>
          <a:camera prst="perspectiveRight"/>
          <a:lightRig rig="threePt" dir="t"/>
        </a:scene3d>
      </xdr:spPr>
    </xdr:pic>
    <xdr:clientData/>
  </xdr:twoCellAnchor>
  <xdr:oneCellAnchor>
    <xdr:from>
      <xdr:col>4</xdr:col>
      <xdr:colOff>127000</xdr:colOff>
      <xdr:row>11</xdr:row>
      <xdr:rowOff>25400</xdr:rowOff>
    </xdr:from>
    <xdr:ext cx="184731" cy="264560"/>
    <xdr:sp macro="" textlink="">
      <xdr:nvSpPr>
        <xdr:cNvPr id="42" name="TextBox 41">
          <a:extLst>
            <a:ext uri="{FF2B5EF4-FFF2-40B4-BE49-F238E27FC236}">
              <a16:creationId xmlns:a16="http://schemas.microsoft.com/office/drawing/2014/main" id="{E6D53FD7-77BD-E53E-A9F2-50C642D555C7}"/>
            </a:ext>
          </a:extLst>
        </xdr:cNvPr>
        <xdr:cNvSpPr txBox="1"/>
      </xdr:nvSpPr>
      <xdr:spPr>
        <a:xfrm>
          <a:off x="2565400" y="198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6</xdr:col>
      <xdr:colOff>355600</xdr:colOff>
      <xdr:row>7</xdr:row>
      <xdr:rowOff>152400</xdr:rowOff>
    </xdr:from>
    <xdr:to>
      <xdr:col>9</xdr:col>
      <xdr:colOff>254000</xdr:colOff>
      <xdr:row>14</xdr:row>
      <xdr:rowOff>50800</xdr:rowOff>
    </xdr:to>
    <xdr:pic>
      <xdr:nvPicPr>
        <xdr:cNvPr id="44" name="Picture 43">
          <a:extLst>
            <a:ext uri="{FF2B5EF4-FFF2-40B4-BE49-F238E27FC236}">
              <a16:creationId xmlns:a16="http://schemas.microsoft.com/office/drawing/2014/main" id="{D8C2E90C-60C0-D718-9ADA-C749AC7B8B3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013200" y="1397000"/>
          <a:ext cx="1727200" cy="1143000"/>
        </a:xfrm>
        <a:prstGeom prst="rect">
          <a:avLst/>
        </a:prstGeom>
      </xdr:spPr>
    </xdr:pic>
    <xdr:clientData/>
  </xdr:twoCellAnchor>
  <xdr:twoCellAnchor editAs="oneCell">
    <xdr:from>
      <xdr:col>12</xdr:col>
      <xdr:colOff>495300</xdr:colOff>
      <xdr:row>8</xdr:row>
      <xdr:rowOff>63500</xdr:rowOff>
    </xdr:from>
    <xdr:to>
      <xdr:col>15</xdr:col>
      <xdr:colOff>317500</xdr:colOff>
      <xdr:row>14</xdr:row>
      <xdr:rowOff>63500</xdr:rowOff>
    </xdr:to>
    <xdr:pic>
      <xdr:nvPicPr>
        <xdr:cNvPr id="48" name="Picture 47">
          <a:extLst>
            <a:ext uri="{FF2B5EF4-FFF2-40B4-BE49-F238E27FC236}">
              <a16:creationId xmlns:a16="http://schemas.microsoft.com/office/drawing/2014/main" id="{DF43CD7A-426D-5B53-564A-CC7F774F9DD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810500" y="1485900"/>
          <a:ext cx="1651000" cy="1066800"/>
        </a:xfrm>
        <a:prstGeom prst="rect">
          <a:avLst/>
        </a:prstGeom>
      </xdr:spPr>
    </xdr:pic>
    <xdr:clientData/>
  </xdr:twoCellAnchor>
  <xdr:oneCellAnchor>
    <xdr:from>
      <xdr:col>3</xdr:col>
      <xdr:colOff>495300</xdr:colOff>
      <xdr:row>10</xdr:row>
      <xdr:rowOff>165100</xdr:rowOff>
    </xdr:from>
    <xdr:ext cx="1841500" cy="405432"/>
    <xdr:sp macro="" textlink="Sheet1!N4">
      <xdr:nvSpPr>
        <xdr:cNvPr id="4" name="TextBox 3">
          <a:extLst>
            <a:ext uri="{FF2B5EF4-FFF2-40B4-BE49-F238E27FC236}">
              <a16:creationId xmlns:a16="http://schemas.microsoft.com/office/drawing/2014/main" id="{94A95FA8-8E52-4492-F107-EA891E152D7D}"/>
            </a:ext>
          </a:extLst>
        </xdr:cNvPr>
        <xdr:cNvSpPr txBox="1"/>
      </xdr:nvSpPr>
      <xdr:spPr>
        <a:xfrm>
          <a:off x="2324100" y="1943100"/>
          <a:ext cx="18415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1315EB6-0D60-4FC3-A924-FE5366DEDB3A}" type="TxLink">
            <a:rPr lang="en-US" sz="2000" b="0" i="0" u="none" strike="noStrike">
              <a:solidFill>
                <a:srgbClr val="000000"/>
              </a:solidFill>
              <a:latin typeface="Calibri"/>
              <a:ea typeface="Calibri"/>
              <a:cs typeface="Calibri"/>
            </a:rPr>
            <a:pPr/>
            <a:t>₹ 1,01,54,773</a:t>
          </a:fld>
          <a:endParaRPr lang="en-IN" sz="23900" b="0">
            <a:latin typeface="Bookman Old Style" panose="02050604050505020204" pitchFamily="18" charset="0"/>
          </a:endParaRPr>
        </a:p>
      </xdr:txBody>
    </xdr:sp>
    <xdr:clientData/>
  </xdr:oneCellAnchor>
  <xdr:twoCellAnchor editAs="oneCell">
    <xdr:from>
      <xdr:col>0</xdr:col>
      <xdr:colOff>190500</xdr:colOff>
      <xdr:row>9</xdr:row>
      <xdr:rowOff>12700</xdr:rowOff>
    </xdr:from>
    <xdr:to>
      <xdr:col>3</xdr:col>
      <xdr:colOff>190500</xdr:colOff>
      <xdr:row>19</xdr:row>
      <xdr:rowOff>139699</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5BCEF2B0-8B35-45D5-9088-F2D6E8373CA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0500" y="1612900"/>
              <a:ext cx="1828800"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203200</xdr:colOff>
      <xdr:row>20</xdr:row>
      <xdr:rowOff>152400</xdr:rowOff>
    </xdr:from>
    <xdr:to>
      <xdr:col>3</xdr:col>
      <xdr:colOff>174400</xdr:colOff>
      <xdr:row>30</xdr:row>
      <xdr:rowOff>50799</xdr:rowOff>
    </xdr:to>
    <mc:AlternateContent xmlns:mc="http://schemas.openxmlformats.org/markup-compatibility/2006" xmlns:a14="http://schemas.microsoft.com/office/drawing/2010/main">
      <mc:Choice Requires="a14">
        <xdr:graphicFrame macro="">
          <xdr:nvGraphicFramePr>
            <xdr:cNvPr id="23" name="Product_Category 1">
              <a:extLst>
                <a:ext uri="{FF2B5EF4-FFF2-40B4-BE49-F238E27FC236}">
                  <a16:creationId xmlns:a16="http://schemas.microsoft.com/office/drawing/2014/main" id="{50CB8E0E-2FE6-4471-9B02-6C76829B9716}"/>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03200" y="3708400"/>
              <a:ext cx="18000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190500</xdr:colOff>
      <xdr:row>31</xdr:row>
      <xdr:rowOff>1</xdr:rowOff>
    </xdr:from>
    <xdr:ext cx="1828800" cy="1651000"/>
    <mc:AlternateContent xmlns:mc="http://schemas.openxmlformats.org/markup-compatibility/2006" xmlns:a14="http://schemas.microsoft.com/office/drawing/2010/main">
      <mc:Choice Requires="a14">
        <xdr:graphicFrame macro="">
          <xdr:nvGraphicFramePr>
            <xdr:cNvPr id="26" name="Payment_Mode 1">
              <a:extLst>
                <a:ext uri="{FF2B5EF4-FFF2-40B4-BE49-F238E27FC236}">
                  <a16:creationId xmlns:a16="http://schemas.microsoft.com/office/drawing/2014/main" id="{CC9E04F3-8A77-4D46-9AE5-830998B791E7}"/>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90500" y="5511801"/>
              <a:ext cx="1828800" cy="165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355600</xdr:colOff>
      <xdr:row>10</xdr:row>
      <xdr:rowOff>127000</xdr:rowOff>
    </xdr:from>
    <xdr:ext cx="1308100" cy="419100"/>
    <xdr:sp macro="" textlink="Sheet1!P4">
      <xdr:nvSpPr>
        <xdr:cNvPr id="27" name="TextBox 26">
          <a:extLst>
            <a:ext uri="{FF2B5EF4-FFF2-40B4-BE49-F238E27FC236}">
              <a16:creationId xmlns:a16="http://schemas.microsoft.com/office/drawing/2014/main" id="{12599ABB-7359-D8FC-04F1-A4EE382F82DE}"/>
            </a:ext>
          </a:extLst>
        </xdr:cNvPr>
        <xdr:cNvSpPr txBox="1"/>
      </xdr:nvSpPr>
      <xdr:spPr>
        <a:xfrm>
          <a:off x="6451600" y="1905000"/>
          <a:ext cx="130810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DC7571F-4902-4BEF-9B77-47E5C3D19A95}" type="TxLink">
            <a:rPr lang="en-US" sz="2400" b="0" i="0" u="none" strike="noStrike">
              <a:solidFill>
                <a:srgbClr val="000000"/>
              </a:solidFill>
              <a:latin typeface="Calibri"/>
              <a:ea typeface="Calibri"/>
              <a:cs typeface="Calibri"/>
            </a:rPr>
            <a:pPr/>
            <a:t>100</a:t>
          </a:fld>
          <a:endParaRPr lang="en-IN" sz="6600" b="0">
            <a:latin typeface="Bookman Old Style" panose="02050604050505020204" pitchFamily="18" charset="0"/>
          </a:endParaRPr>
        </a:p>
      </xdr:txBody>
    </xdr:sp>
    <xdr:clientData/>
  </xdr:oneCellAnchor>
  <xdr:oneCellAnchor>
    <xdr:from>
      <xdr:col>15</xdr:col>
      <xdr:colOff>533400</xdr:colOff>
      <xdr:row>11</xdr:row>
      <xdr:rowOff>12700</xdr:rowOff>
    </xdr:from>
    <xdr:ext cx="1778000" cy="468013"/>
    <xdr:sp macro="" textlink="Sheet1!Q4">
      <xdr:nvSpPr>
        <xdr:cNvPr id="29" name="TextBox 28">
          <a:extLst>
            <a:ext uri="{FF2B5EF4-FFF2-40B4-BE49-F238E27FC236}">
              <a16:creationId xmlns:a16="http://schemas.microsoft.com/office/drawing/2014/main" id="{8A0DA85C-A992-3470-57ED-3F36C39A421C}"/>
            </a:ext>
          </a:extLst>
        </xdr:cNvPr>
        <xdr:cNvSpPr txBox="1"/>
      </xdr:nvSpPr>
      <xdr:spPr>
        <a:xfrm>
          <a:off x="9677400" y="1968500"/>
          <a:ext cx="17780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DC9B287-512B-42C7-9DF9-45FD05070787}" type="TxLink">
            <a:rPr lang="en-US" sz="2400" b="0" i="0" u="none" strike="noStrike">
              <a:solidFill>
                <a:srgbClr val="000000"/>
              </a:solidFill>
              <a:latin typeface="Calibri"/>
              <a:ea typeface="Calibri"/>
              <a:cs typeface="Calibri"/>
            </a:rPr>
            <a:pPr/>
            <a:t>14.84%</a:t>
          </a:fld>
          <a:endParaRPr lang="en-IN" sz="16600" b="0">
            <a:latin typeface="Bookman Old Style" panose="02050604050505020204" pitchFamily="18" charset="0"/>
          </a:endParaRPr>
        </a:p>
      </xdr:txBody>
    </xdr:sp>
    <xdr:clientData/>
  </xdr:oneCellAnchor>
  <xdr:oneCellAnchor>
    <xdr:from>
      <xdr:col>22</xdr:col>
      <xdr:colOff>215900</xdr:colOff>
      <xdr:row>10</xdr:row>
      <xdr:rowOff>127000</xdr:rowOff>
    </xdr:from>
    <xdr:ext cx="1689100" cy="673100"/>
    <xdr:sp macro="" textlink="Sheet1!N8">
      <xdr:nvSpPr>
        <xdr:cNvPr id="30" name="TextBox 29">
          <a:extLst>
            <a:ext uri="{FF2B5EF4-FFF2-40B4-BE49-F238E27FC236}">
              <a16:creationId xmlns:a16="http://schemas.microsoft.com/office/drawing/2014/main" id="{836F27CD-CFE6-1497-6B10-EDBD10FBAED4}"/>
            </a:ext>
          </a:extLst>
        </xdr:cNvPr>
        <xdr:cNvSpPr txBox="1"/>
      </xdr:nvSpPr>
      <xdr:spPr>
        <a:xfrm>
          <a:off x="13627100" y="1905000"/>
          <a:ext cx="1689100" cy="673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277536C-9E84-48C3-9302-7C2EA41F1798}" type="TxLink">
            <a:rPr lang="en-US" sz="2800" b="0" i="0" u="none" strike="noStrike">
              <a:solidFill>
                <a:srgbClr val="000000"/>
              </a:solidFill>
              <a:latin typeface="Calibri"/>
              <a:ea typeface="Calibri"/>
              <a:cs typeface="Calibri"/>
            </a:rPr>
            <a:pPr/>
            <a:t>Shirt</a:t>
          </a:fld>
          <a:endParaRPr lang="en-IN" sz="13800">
            <a:solidFill>
              <a:schemeClr val="accent5">
                <a:lumMod val="50000"/>
              </a:schemeClr>
            </a:solidFill>
            <a:latin typeface="Bookman Old Style" panose="02050604050505020204" pitchFamily="18" charset="0"/>
          </a:endParaRPr>
        </a:p>
      </xdr:txBody>
    </xdr:sp>
    <xdr:clientData/>
  </xdr:oneCellAnchor>
  <xdr:twoCellAnchor editAs="oneCell">
    <xdr:from>
      <xdr:col>39</xdr:col>
      <xdr:colOff>0</xdr:colOff>
      <xdr:row>13</xdr:row>
      <xdr:rowOff>139700</xdr:rowOff>
    </xdr:from>
    <xdr:to>
      <xdr:col>40</xdr:col>
      <xdr:colOff>304800</xdr:colOff>
      <xdr:row>18</xdr:row>
      <xdr:rowOff>165100</xdr:rowOff>
    </xdr:to>
    <xdr:pic>
      <xdr:nvPicPr>
        <xdr:cNvPr id="34" name="Graphic 33" descr="Bar chart with solid fill">
          <a:extLst>
            <a:ext uri="{FF2B5EF4-FFF2-40B4-BE49-F238E27FC236}">
              <a16:creationId xmlns:a16="http://schemas.microsoft.com/office/drawing/2014/main" id="{E73B2F76-8014-28B4-4F3C-02C4F13538B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774400" y="2451100"/>
          <a:ext cx="914400" cy="914400"/>
        </a:xfrm>
        <a:prstGeom prst="rect">
          <a:avLst/>
        </a:prstGeom>
      </xdr:spPr>
    </xdr:pic>
    <xdr:clientData/>
  </xdr:twoCellAnchor>
  <xdr:twoCellAnchor editAs="oneCell">
    <xdr:from>
      <xdr:col>0</xdr:col>
      <xdr:colOff>88900</xdr:colOff>
      <xdr:row>1</xdr:row>
      <xdr:rowOff>0</xdr:rowOff>
    </xdr:from>
    <xdr:to>
      <xdr:col>3</xdr:col>
      <xdr:colOff>457200</xdr:colOff>
      <xdr:row>9</xdr:row>
      <xdr:rowOff>152400</xdr:rowOff>
    </xdr:to>
    <xdr:pic>
      <xdr:nvPicPr>
        <xdr:cNvPr id="46" name="Picture 45">
          <a:extLst>
            <a:ext uri="{FF2B5EF4-FFF2-40B4-BE49-F238E27FC236}">
              <a16:creationId xmlns:a16="http://schemas.microsoft.com/office/drawing/2014/main" id="{43DF52EB-3128-D276-58A1-8436B9F58417}"/>
            </a:ext>
          </a:extLst>
        </xdr:cNvPr>
        <xdr:cNvPicPr>
          <a:picLocks noChangeAspect="1"/>
        </xdr:cNvPicPr>
      </xdr:nvPicPr>
      <xdr:blipFill rotWithShape="1">
        <a:blip xmlns:r="http://schemas.openxmlformats.org/officeDocument/2006/relationships" r:embed="rId15"/>
        <a:srcRect l="25414" t="16038" r="20994" b="10303"/>
        <a:stretch>
          <a:fillRect/>
        </a:stretch>
      </xdr:blipFill>
      <xdr:spPr>
        <a:xfrm>
          <a:off x="88900" y="177800"/>
          <a:ext cx="2197100" cy="1574800"/>
        </a:xfrm>
        <a:prstGeom prst="rect">
          <a:avLst/>
        </a:prstGeom>
      </xdr:spPr>
    </xdr:pic>
    <xdr:clientData/>
  </xdr:twoCellAnchor>
  <xdr:twoCellAnchor editAs="oneCell">
    <xdr:from>
      <xdr:col>0</xdr:col>
      <xdr:colOff>254000</xdr:colOff>
      <xdr:row>46</xdr:row>
      <xdr:rowOff>165100</xdr:rowOff>
    </xdr:from>
    <xdr:to>
      <xdr:col>3</xdr:col>
      <xdr:colOff>88900</xdr:colOff>
      <xdr:row>56</xdr:row>
      <xdr:rowOff>50800</xdr:rowOff>
    </xdr:to>
    <xdr:pic>
      <xdr:nvPicPr>
        <xdr:cNvPr id="49" name="Picture 48">
          <a:extLst>
            <a:ext uri="{FF2B5EF4-FFF2-40B4-BE49-F238E27FC236}">
              <a16:creationId xmlns:a16="http://schemas.microsoft.com/office/drawing/2014/main" id="{672F9F72-E6E5-F538-69FA-28D0711913FF}"/>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5084" r="11731" b="6428"/>
        <a:stretch>
          <a:fillRect/>
        </a:stretch>
      </xdr:blipFill>
      <xdr:spPr>
        <a:xfrm>
          <a:off x="254000" y="8343900"/>
          <a:ext cx="1663700" cy="1663700"/>
        </a:xfrm>
        <a:prstGeom prst="rect">
          <a:avLst/>
        </a:prstGeom>
      </xdr:spPr>
    </xdr:pic>
    <xdr:clientData/>
  </xdr:twoCellAnchor>
  <xdr:twoCellAnchor editAs="oneCell">
    <xdr:from>
      <xdr:col>0</xdr:col>
      <xdr:colOff>0</xdr:colOff>
      <xdr:row>40</xdr:row>
      <xdr:rowOff>25400</xdr:rowOff>
    </xdr:from>
    <xdr:to>
      <xdr:col>3</xdr:col>
      <xdr:colOff>297364</xdr:colOff>
      <xdr:row>48</xdr:row>
      <xdr:rowOff>81408</xdr:rowOff>
    </xdr:to>
    <xdr:pic>
      <xdr:nvPicPr>
        <xdr:cNvPr id="52" name="Picture 51">
          <a:extLst>
            <a:ext uri="{FF2B5EF4-FFF2-40B4-BE49-F238E27FC236}">
              <a16:creationId xmlns:a16="http://schemas.microsoft.com/office/drawing/2014/main" id="{6E4943E3-D9A2-6475-3350-1D2AFD284E4D}"/>
            </a:ext>
          </a:extLst>
        </xdr:cNvPr>
        <xdr:cNvPicPr>
          <a:picLocks noChangeAspect="1"/>
        </xdr:cNvPicPr>
      </xdr:nvPicPr>
      <xdr:blipFill>
        <a:blip xmlns:r="http://schemas.openxmlformats.org/officeDocument/2006/relationships" r:embed="rId17"/>
        <a:stretch>
          <a:fillRect/>
        </a:stretch>
      </xdr:blipFill>
      <xdr:spPr>
        <a:xfrm>
          <a:off x="0" y="7137400"/>
          <a:ext cx="2126164" cy="14784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omika" refreshedDate="46249.688968518516" createdVersion="8" refreshedVersion="8" minRefreshableVersion="3" recordCount="100" xr:uid="{17F0F432-9900-4421-835E-A3DBC070A5A0}">
  <cacheSource type="worksheet">
    <worksheetSource name="Table1"/>
  </cacheSource>
  <cacheFields count="15">
    <cacheField name="Order_ID" numFmtId="0">
      <sharedItems containsSemiMixedTypes="0" containsString="0" containsNumber="1" containsInteger="1" minValue="1001" maxValue="1100"/>
    </cacheField>
    <cacheField name="Order_Date" numFmtId="164">
      <sharedItems containsSemiMixedTypes="0" containsNonDate="0" containsDate="1" containsString="0" minDate="2025-01-04T00:00:00" maxDate="2025-12-28T00:00:00"/>
    </cacheField>
    <cacheField name="Customer_Name" numFmtId="0">
      <sharedItems/>
    </cacheField>
    <cacheField name="Gender" numFmtId="0">
      <sharedItems count="2">
        <s v="Male"/>
        <s v="Female"/>
      </sharedItems>
    </cacheField>
    <cacheField name="Age" numFmtId="0">
      <sharedItems containsSemiMixedTypes="0" containsString="0" containsNumber="1" containsInteger="1" minValue="18" maxValue="60"/>
    </cacheField>
    <cacheField name="City" numFmtId="0">
      <sharedItems/>
    </cacheField>
    <cacheField name="State" numFmtId="0">
      <sharedItems/>
    </cacheField>
    <cacheField name="Product_Category" numFmtId="0">
      <sharedItems count="4">
        <s v="Electronics"/>
        <s v="Grocery"/>
        <s v="Fashion"/>
        <s v="Home"/>
      </sharedItems>
    </cacheField>
    <cacheField name="Product_Name" numFmtId="0">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1132" maxValue="49514"/>
    </cacheField>
    <cacheField name="Discount" numFmtId="9">
      <sharedItems containsSemiMixedTypes="0" containsString="0" containsNumber="1" minValue="0" maxValue="0.15"/>
    </cacheField>
    <cacheField name="Payment_Mode" numFmtId="0">
      <sharedItems/>
    </cacheField>
    <cacheField name="Sales" numFmtId="0">
      <sharedItems containsSemiMixedTypes="0" containsString="0" containsNumber="1" minValue="4301.6000000000004" maxValue="378232"/>
    </cacheField>
    <cacheField name="Profit" numFmtId="0">
      <sharedItems containsSemiMixedTypes="0" containsString="0" containsNumber="1" minValue="492.53" maxValue="71818.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49.944440277781" backgroundQuery="1" createdVersion="8" refreshedVersion="8" minRefreshableVersion="3" recordCount="0" supportSubquery="1" supportAdvancedDrill="1" xr:uid="{4B29140B-6A97-4858-B30D-6BF11E5C0D19}">
  <cacheSource type="external" connectionId="1"/>
  <cacheFields count="2">
    <cacheField name="[Table1].[Order_ID].[Order_ID]" caption="Order_ID" numFmtId="0" level="1">
      <sharedItems containsSemiMixedTypes="0" containsString="0" containsNumber="1" containsInteger="1" minValue="1001" maxValue="1100" count="1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sharedItems>
      <extLst>
        <ext xmlns:x15="http://schemas.microsoft.com/office/spreadsheetml/2010/11/main" uri="{4F2E5C28-24EA-4eb8-9CBF-B6C8F9C3D259}">
          <x15:cachedUniqueNames>
            <x15:cachedUniqueName index="0" name="[Table1].[Order_ID].&amp;[1001]"/>
            <x15:cachedUniqueName index="1" name="[Table1].[Order_ID].&amp;[1002]"/>
            <x15:cachedUniqueName index="2" name="[Table1].[Order_ID].&amp;[1003]"/>
            <x15:cachedUniqueName index="3" name="[Table1].[Order_ID].&amp;[1004]"/>
            <x15:cachedUniqueName index="4" name="[Table1].[Order_ID].&amp;[1005]"/>
            <x15:cachedUniqueName index="5" name="[Table1].[Order_ID].&amp;[1006]"/>
            <x15:cachedUniqueName index="6" name="[Table1].[Order_ID].&amp;[1007]"/>
            <x15:cachedUniqueName index="7" name="[Table1].[Order_ID].&amp;[1008]"/>
            <x15:cachedUniqueName index="8" name="[Table1].[Order_ID].&amp;[1009]"/>
            <x15:cachedUniqueName index="9" name="[Table1].[Order_ID].&amp;[1010]"/>
            <x15:cachedUniqueName index="10" name="[Table1].[Order_ID].&amp;[1011]"/>
            <x15:cachedUniqueName index="11" name="[Table1].[Order_ID].&amp;[1012]"/>
            <x15:cachedUniqueName index="12" name="[Table1].[Order_ID].&amp;[1013]"/>
            <x15:cachedUniqueName index="13" name="[Table1].[Order_ID].&amp;[1014]"/>
            <x15:cachedUniqueName index="14" name="[Table1].[Order_ID].&amp;[1015]"/>
            <x15:cachedUniqueName index="15" name="[Table1].[Order_ID].&amp;[1016]"/>
            <x15:cachedUniqueName index="16" name="[Table1].[Order_ID].&amp;[1017]"/>
            <x15:cachedUniqueName index="17" name="[Table1].[Order_ID].&amp;[1018]"/>
            <x15:cachedUniqueName index="18" name="[Table1].[Order_ID].&amp;[1019]"/>
            <x15:cachedUniqueName index="19" name="[Table1].[Order_ID].&amp;[1020]"/>
            <x15:cachedUniqueName index="20" name="[Table1].[Order_ID].&amp;[1021]"/>
            <x15:cachedUniqueName index="21" name="[Table1].[Order_ID].&amp;[1022]"/>
            <x15:cachedUniqueName index="22" name="[Table1].[Order_ID].&amp;[1023]"/>
            <x15:cachedUniqueName index="23" name="[Table1].[Order_ID].&amp;[1024]"/>
            <x15:cachedUniqueName index="24" name="[Table1].[Order_ID].&amp;[1025]"/>
            <x15:cachedUniqueName index="25" name="[Table1].[Order_ID].&amp;[1026]"/>
            <x15:cachedUniqueName index="26" name="[Table1].[Order_ID].&amp;[1027]"/>
            <x15:cachedUniqueName index="27" name="[Table1].[Order_ID].&amp;[1028]"/>
            <x15:cachedUniqueName index="28" name="[Table1].[Order_ID].&amp;[1029]"/>
            <x15:cachedUniqueName index="29" name="[Table1].[Order_ID].&amp;[1030]"/>
            <x15:cachedUniqueName index="30" name="[Table1].[Order_ID].&amp;[1031]"/>
            <x15:cachedUniqueName index="31" name="[Table1].[Order_ID].&amp;[1032]"/>
            <x15:cachedUniqueName index="32" name="[Table1].[Order_ID].&amp;[1033]"/>
            <x15:cachedUniqueName index="33" name="[Table1].[Order_ID].&amp;[1034]"/>
            <x15:cachedUniqueName index="34" name="[Table1].[Order_ID].&amp;[1035]"/>
            <x15:cachedUniqueName index="35" name="[Table1].[Order_ID].&amp;[1036]"/>
            <x15:cachedUniqueName index="36" name="[Table1].[Order_ID].&amp;[1037]"/>
            <x15:cachedUniqueName index="37" name="[Table1].[Order_ID].&amp;[1038]"/>
            <x15:cachedUniqueName index="38" name="[Table1].[Order_ID].&amp;[1039]"/>
            <x15:cachedUniqueName index="39" name="[Table1].[Order_ID].&amp;[1040]"/>
            <x15:cachedUniqueName index="40" name="[Table1].[Order_ID].&amp;[1041]"/>
            <x15:cachedUniqueName index="41" name="[Table1].[Order_ID].&amp;[1042]"/>
            <x15:cachedUniqueName index="42" name="[Table1].[Order_ID].&amp;[1043]"/>
            <x15:cachedUniqueName index="43" name="[Table1].[Order_ID].&amp;[1044]"/>
            <x15:cachedUniqueName index="44" name="[Table1].[Order_ID].&amp;[1045]"/>
            <x15:cachedUniqueName index="45" name="[Table1].[Order_ID].&amp;[1046]"/>
            <x15:cachedUniqueName index="46" name="[Table1].[Order_ID].&amp;[1047]"/>
            <x15:cachedUniqueName index="47" name="[Table1].[Order_ID].&amp;[1048]"/>
            <x15:cachedUniqueName index="48" name="[Table1].[Order_ID].&amp;[1049]"/>
            <x15:cachedUniqueName index="49" name="[Table1].[Order_ID].&amp;[1050]"/>
            <x15:cachedUniqueName index="50" name="[Table1].[Order_ID].&amp;[1051]"/>
            <x15:cachedUniqueName index="51" name="[Table1].[Order_ID].&amp;[1052]"/>
            <x15:cachedUniqueName index="52" name="[Table1].[Order_ID].&amp;[1053]"/>
            <x15:cachedUniqueName index="53" name="[Table1].[Order_ID].&amp;[1054]"/>
            <x15:cachedUniqueName index="54" name="[Table1].[Order_ID].&amp;[1055]"/>
            <x15:cachedUniqueName index="55" name="[Table1].[Order_ID].&amp;[1056]"/>
            <x15:cachedUniqueName index="56" name="[Table1].[Order_ID].&amp;[1057]"/>
            <x15:cachedUniqueName index="57" name="[Table1].[Order_ID].&amp;[1058]"/>
            <x15:cachedUniqueName index="58" name="[Table1].[Order_ID].&amp;[1059]"/>
            <x15:cachedUniqueName index="59" name="[Table1].[Order_ID].&amp;[1060]"/>
            <x15:cachedUniqueName index="60" name="[Table1].[Order_ID].&amp;[1061]"/>
            <x15:cachedUniqueName index="61" name="[Table1].[Order_ID].&amp;[1062]"/>
            <x15:cachedUniqueName index="62" name="[Table1].[Order_ID].&amp;[1063]"/>
            <x15:cachedUniqueName index="63" name="[Table1].[Order_ID].&amp;[1064]"/>
            <x15:cachedUniqueName index="64" name="[Table1].[Order_ID].&amp;[1065]"/>
            <x15:cachedUniqueName index="65" name="[Table1].[Order_ID].&amp;[1066]"/>
            <x15:cachedUniqueName index="66" name="[Table1].[Order_ID].&amp;[1067]"/>
            <x15:cachedUniqueName index="67" name="[Table1].[Order_ID].&amp;[1068]"/>
            <x15:cachedUniqueName index="68" name="[Table1].[Order_ID].&amp;[1069]"/>
            <x15:cachedUniqueName index="69" name="[Table1].[Order_ID].&amp;[1070]"/>
            <x15:cachedUniqueName index="70" name="[Table1].[Order_ID].&amp;[1071]"/>
            <x15:cachedUniqueName index="71" name="[Table1].[Order_ID].&amp;[1072]"/>
            <x15:cachedUniqueName index="72" name="[Table1].[Order_ID].&amp;[1073]"/>
            <x15:cachedUniqueName index="73" name="[Table1].[Order_ID].&amp;[1074]"/>
            <x15:cachedUniqueName index="74" name="[Table1].[Order_ID].&amp;[1075]"/>
            <x15:cachedUniqueName index="75" name="[Table1].[Order_ID].&amp;[1076]"/>
            <x15:cachedUniqueName index="76" name="[Table1].[Order_ID].&amp;[1077]"/>
            <x15:cachedUniqueName index="77" name="[Table1].[Order_ID].&amp;[1078]"/>
            <x15:cachedUniqueName index="78" name="[Table1].[Order_ID].&amp;[1079]"/>
            <x15:cachedUniqueName index="79" name="[Table1].[Order_ID].&amp;[1080]"/>
            <x15:cachedUniqueName index="80" name="[Table1].[Order_ID].&amp;[1081]"/>
            <x15:cachedUniqueName index="81" name="[Table1].[Order_ID].&amp;[1082]"/>
            <x15:cachedUniqueName index="82" name="[Table1].[Order_ID].&amp;[1083]"/>
            <x15:cachedUniqueName index="83" name="[Table1].[Order_ID].&amp;[1084]"/>
            <x15:cachedUniqueName index="84" name="[Table1].[Order_ID].&amp;[1085]"/>
            <x15:cachedUniqueName index="85" name="[Table1].[Order_ID].&amp;[1086]"/>
            <x15:cachedUniqueName index="86" name="[Table1].[Order_ID].&amp;[1087]"/>
            <x15:cachedUniqueName index="87" name="[Table1].[Order_ID].&amp;[1088]"/>
            <x15:cachedUniqueName index="88" name="[Table1].[Order_ID].&amp;[1089]"/>
            <x15:cachedUniqueName index="89" name="[Table1].[Order_ID].&amp;[1090]"/>
            <x15:cachedUniqueName index="90" name="[Table1].[Order_ID].&amp;[1091]"/>
            <x15:cachedUniqueName index="91" name="[Table1].[Order_ID].&amp;[1092]"/>
            <x15:cachedUniqueName index="92" name="[Table1].[Order_ID].&amp;[1093]"/>
            <x15:cachedUniqueName index="93" name="[Table1].[Order_ID].&amp;[1094]"/>
            <x15:cachedUniqueName index="94" name="[Table1].[Order_ID].&amp;[1095]"/>
            <x15:cachedUniqueName index="95" name="[Table1].[Order_ID].&amp;[1096]"/>
            <x15:cachedUniqueName index="96" name="[Table1].[Order_ID].&amp;[1097]"/>
            <x15:cachedUniqueName index="97" name="[Table1].[Order_ID].&amp;[1098]"/>
            <x15:cachedUniqueName index="98" name="[Table1].[Order_ID].&amp;[1099]"/>
            <x15:cachedUniqueName index="99" name="[Table1].[Order_ID].&amp;[1100]"/>
          </x15:cachedUniqueNames>
        </ext>
      </extLst>
    </cacheField>
    <cacheField name="[Measures].[Sum of Order_ID]" caption="Sum of Order_ID" numFmtId="0" hierarchy="36" level="32767"/>
  </cacheFields>
  <cacheHierarchies count="39">
    <cacheHierarchy uniqueName="[Table1].[Order_ID]" caption="Order_ID" attribute="1" defaultMemberUniqueName="[Table1].[Order_ID].[All]" allUniqueName="[Table1].[Order_ID].[All]" dimensionUniqueName="[Table1]" displayFolder="" count="2" memberValueDatatype="20" unbalanced="0">
      <fieldsUsage count="2">
        <fieldUsage x="-1"/>
        <fieldUsage x="0"/>
      </fieldsUsage>
    </cacheHierarchy>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49.689195023151" backgroundQuery="1" createdVersion="8" refreshedVersion="8" minRefreshableVersion="3" recordCount="0" supportSubquery="1" supportAdvancedDrill="1" xr:uid="{547608C8-4366-4CEF-9221-911588C43570}">
  <cacheSource type="external" connectionId="1"/>
  <cacheFields count="2">
    <cacheField name="[Table1].[Product_Category].[Product_Category]" caption="Product_Category" numFmtId="0" hierarchy="7" level="1">
      <sharedItems count="4">
        <s v="Electronics"/>
        <s v="Fashion"/>
        <s v="Grocery"/>
        <s v="Home"/>
      </sharedItems>
      <extLst>
        <ext xmlns:x15="http://schemas.microsoft.com/office/spreadsheetml/2010/11/main" uri="{4F2E5C28-24EA-4eb8-9CBF-B6C8F9C3D259}">
          <x15:cachedUniqueNames>
            <x15:cachedUniqueName index="0" name="[Table1].[Product_Category].&amp;[Electronics]"/>
            <x15:cachedUniqueName index="1" name="[Table1].[Product_Category].&amp;[Fashion]"/>
            <x15:cachedUniqueName index="2" name="[Table1].[Product_Category].&amp;[Grocery]"/>
            <x15:cachedUniqueName index="3" name="[Table1].[Product_Category].&amp;[Home]"/>
          </x15:cachedUniqueNames>
        </ext>
      </extLst>
    </cacheField>
    <cacheField name="[Measures].[Sum of Profit]" caption="Sum of Profit" numFmtId="0" hierarchy="35" level="32767"/>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49.950106597222" backgroundQuery="1" createdVersion="8" refreshedVersion="8" minRefreshableVersion="3" recordCount="0" supportSubquery="1" supportAdvancedDrill="1" xr:uid="{5C16D1A4-0FC5-4526-9F8A-E56A9F34718F}">
  <cacheSource type="external" connectionId="1"/>
  <cacheFields count="0"/>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49.951224884258" backgroundQuery="1" createdVersion="8" refreshedVersion="8" minRefreshableVersion="3" recordCount="0" supportSubquery="1" supportAdvancedDrill="1" xr:uid="{E0C6E708-5C77-42F6-A0AC-B8BC00EFD22F}">
  <cacheSource type="external" connectionId="1"/>
  <cacheFields count="0"/>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7997685" backgroundQuery="1" createdVersion="8" refreshedVersion="8" minRefreshableVersion="3" recordCount="0" supportSubquery="1" supportAdvancedDrill="1" xr:uid="{935DDA14-F34A-450A-A86D-54B22C1D2DD4}">
  <cacheSource type="external" connectionId="1"/>
  <cacheFields count="2">
    <cacheField name="[Table1].[Product_Category].[Product_Category]" caption="Product_Category" numFmtId="0" hierarchy="7" level="1">
      <sharedItems count="4">
        <s v="Electronics"/>
        <s v="Fashion"/>
        <s v="Grocery"/>
        <s v="Home"/>
      </sharedItems>
      <extLst>
        <ext xmlns:x15="http://schemas.microsoft.com/office/spreadsheetml/2010/11/main" uri="{4F2E5C28-24EA-4eb8-9CBF-B6C8F9C3D259}">
          <x15:cachedUniqueNames>
            <x15:cachedUniqueName index="0" name="[Table1].[Product_Category].&amp;[Electronics]"/>
            <x15:cachedUniqueName index="1" name="[Table1].[Product_Category].&amp;[Fashion]"/>
            <x15:cachedUniqueName index="2" name="[Table1].[Product_Category].&amp;[Grocery]"/>
            <x15:cachedUniqueName index="3" name="[Table1].[Product_Category].&amp;[Home]"/>
          </x15:cachedUniqueNames>
        </ext>
      </extLst>
    </cacheField>
    <cacheField name="[Measures].[Sum of Sales]" caption="Sum of Sales" numFmtId="0" hierarchy="34" level="32767"/>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80671297" backgroundQuery="1" createdVersion="8" refreshedVersion="8" minRefreshableVersion="3" recordCount="0" supportSubquery="1" supportAdvancedDrill="1" xr:uid="{CEA062E3-FE56-4CBC-B45F-3FD721C5097B}">
  <cacheSource type="external" connectionId="1"/>
  <cacheFields count="3">
    <cacheField name="[Table1].[Order_Date (Month)].[Order_Date (Month)]" caption="Order_Date (Month)" numFmtId="0" hierarchy="1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_Date (Month)].&amp;[Jan]"/>
            <x15:cachedUniqueName index="1" name="[Table1].[Order_Date (Month)].&amp;[Feb]"/>
            <x15:cachedUniqueName index="2" name="[Table1].[Order_Date (Month)].&amp;[Mar]"/>
            <x15:cachedUniqueName index="3" name="[Table1].[Order_Date (Month)].&amp;[Apr]"/>
            <x15:cachedUniqueName index="4" name="[Table1].[Order_Date (Month)].&amp;[May]"/>
            <x15:cachedUniqueName index="5" name="[Table1].[Order_Date (Month)].&amp;[Jun]"/>
            <x15:cachedUniqueName index="6" name="[Table1].[Order_Date (Month)].&amp;[Jul]"/>
            <x15:cachedUniqueName index="7" name="[Table1].[Order_Date (Month)].&amp;[Aug]"/>
            <x15:cachedUniqueName index="8" name="[Table1].[Order_Date (Month)].&amp;[Sep]"/>
            <x15:cachedUniqueName index="9" name="[Table1].[Order_Date (Month)].&amp;[Oct]"/>
            <x15:cachedUniqueName index="10" name="[Table1].[Order_Date (Month)].&amp;[Nov]"/>
            <x15:cachedUniqueName index="11" name="[Table1].[Order_Date (Month)].&amp;[Dec]"/>
          </x15:cachedUniqueNames>
        </ext>
      </extLst>
    </cacheField>
    <cacheField name="[Measures].[Sum of Sales]" caption="Sum of Sales" numFmtId="0" hierarchy="34" level="32767"/>
    <cacheField name="[Table1].[Product_Category].[Product_Category]" caption="Product_Category" numFmtId="0" hierarchy="7" level="1">
      <sharedItems containsSemiMixedTypes="0" containsNonDate="0" containsString="0"/>
    </cacheField>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0"/>
      </fieldsUsage>
    </cacheHierarchy>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8159722" backgroundQuery="1" createdVersion="8" refreshedVersion="8" minRefreshableVersion="3" recordCount="0" supportSubquery="1" supportAdvancedDrill="1" xr:uid="{9B8921CB-64C0-4916-9206-38FD4998C5D5}">
  <cacheSource type="external" connectionId="1"/>
  <cacheFields count="3">
    <cacheField name="[Table1].[Product_Name].[Product_Name]" caption="Product_Name" numFmtId="0" hierarchy="8" level="1">
      <sharedItems count="1">
        <s v="Shirt"/>
      </sharedItems>
      <extLst>
        <ext xmlns:x15="http://schemas.microsoft.com/office/spreadsheetml/2010/11/main" uri="{4F2E5C28-24EA-4eb8-9CBF-B6C8F9C3D259}">
          <x15:cachedUniqueNames>
            <x15:cachedUniqueName index="0" name="[Table1].[Product_Name].&amp;[Shirt]"/>
          </x15:cachedUniqueNames>
        </ext>
      </extLst>
    </cacheField>
    <cacheField name="[Measures].[Sum of Sales]" caption="Sum of Sales" numFmtId="0" hierarchy="34" level="32767"/>
    <cacheField name="[Table1].[Product_Category].[Product_Category]" caption="Product_Category" numFmtId="0" hierarchy="7" level="1">
      <sharedItems containsSemiMixedTypes="0" containsNonDate="0" containsString="0"/>
    </cacheField>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82175928" backgroundQuery="1" createdVersion="8" refreshedVersion="8" minRefreshableVersion="3" recordCount="0" supportSubquery="1" supportAdvancedDrill="1" xr:uid="{AB46C658-E574-496B-90E9-837CAEFB7791}">
  <cacheSource type="external" connectionId="1"/>
  <cacheFields count="3">
    <cacheField name="[Table1].[State].[State]" caption="State" numFmtId="0" hierarchy="6" level="1">
      <sharedItems count="5">
        <s v="Delhi"/>
        <s v="Karnataka"/>
        <s v="Maharashtra"/>
        <s v="Tamil Nadu"/>
        <s v="Telangana"/>
      </sharedItems>
      <extLst>
        <ext xmlns:x15="http://schemas.microsoft.com/office/spreadsheetml/2010/11/main" uri="{4F2E5C28-24EA-4eb8-9CBF-B6C8F9C3D259}">
          <x15:cachedUniqueNames>
            <x15:cachedUniqueName index="0" name="[Table1].[State].&amp;[Delhi]"/>
            <x15:cachedUniqueName index="1" name="[Table1].[State].&amp;[Karnataka]"/>
            <x15:cachedUniqueName index="2" name="[Table1].[State].&amp;[Maharashtra]"/>
            <x15:cachedUniqueName index="3" name="[Table1].[State].&amp;[Tamil Nadu]"/>
            <x15:cachedUniqueName index="4" name="[Table1].[State].&amp;[Telangana]"/>
          </x15:cachedUniqueNames>
        </ext>
      </extLst>
    </cacheField>
    <cacheField name="[Measures].[Sum of Profit]" caption="Sum of Profit" numFmtId="0" hierarchy="35" level="32767"/>
    <cacheField name="[Table1].[Product_Category].[Product_Category]" caption="Product_Category" numFmtId="0" hierarchy="7" level="1">
      <sharedItems containsSemiMixedTypes="0" containsNonDate="0" containsString="0"/>
    </cacheField>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82754629" backgroundQuery="1" createdVersion="8" refreshedVersion="8" minRefreshableVersion="3" recordCount="0" supportSubquery="1" supportAdvancedDrill="1" xr:uid="{1783B97D-3AE8-43C8-A965-1106CDB05482}">
  <cacheSource type="external" connectionId="1"/>
  <cacheFields count="3">
    <cacheField name="[Table1].[Payment_Mode].[Payment_Mode]" caption="Payment_Mode" numFmtId="0" hierarchy="12" level="1">
      <sharedItems count="4">
        <s v="Cash"/>
        <s v="Credit Card"/>
        <s v="Debit Card"/>
        <s v="UPI"/>
      </sharedItems>
      <extLst>
        <ext xmlns:x15="http://schemas.microsoft.com/office/spreadsheetml/2010/11/main" uri="{4F2E5C28-24EA-4eb8-9CBF-B6C8F9C3D259}">
          <x15:cachedUniqueNames>
            <x15:cachedUniqueName index="0" name="[Table1].[Payment_Mode].&amp;[Cash]"/>
            <x15:cachedUniqueName index="1" name="[Table1].[Payment_Mode].&amp;[Credit Card]"/>
            <x15:cachedUniqueName index="2" name="[Table1].[Payment_Mode].&amp;[Debit Card]"/>
            <x15:cachedUniqueName index="3" name="[Table1].[Payment_Mode].&amp;[UPI]"/>
          </x15:cachedUniqueNames>
        </ext>
      </extLst>
    </cacheField>
    <cacheField name="[Measures].[Sum of Sales]" caption="Sum of Sales" numFmtId="0" hierarchy="34" level="32767"/>
    <cacheField name="[Table1].[Product_Category].[Product_Category]" caption="Product_Category" numFmtId="0" hierarchy="7" level="1">
      <sharedItems containsSemiMixedTypes="0" containsNonDate="0" containsString="0"/>
    </cacheField>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83333337" backgroundQuery="1" createdVersion="8" refreshedVersion="8" minRefreshableVersion="3" recordCount="0" supportSubquery="1" supportAdvancedDrill="1" xr:uid="{76A8D662-C509-4196-86B3-23122A135A39}">
  <cacheSource type="external" connectionId="1"/>
  <cacheFields count="4">
    <cacheField name="[Measures].[Sum of Sales]" caption="Sum of Sales" numFmtId="0" hierarchy="34" level="32767"/>
    <cacheField name="[Measures].[Sum of Profit]" caption="Sum of Profit" numFmtId="0" hierarchy="35" level="32767"/>
    <cacheField name="[Measures].[Count of Order_ID]" caption="Count of Order_ID" numFmtId="0" hierarchy="37" level="32767"/>
    <cacheField name="[Table1].[Product_Category].[Product_Category]" caption="Product_Category" numFmtId="0" hierarchy="7" level="1">
      <sharedItems containsSemiMixedTypes="0" containsNonDate="0" containsString="0"/>
    </cacheField>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3"/>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50.781884027776" backgroundQuery="1" createdVersion="8" refreshedVersion="8" minRefreshableVersion="3" recordCount="0" supportSubquery="1" supportAdvancedDrill="1" xr:uid="{E66CD784-7AD9-4E60-B7E3-48E4B48C9F8D}">
  <cacheSource type="external" connectionId="1"/>
  <cacheFields count="3">
    <cacheField name="[Table1].[Product_Name].[Product_Name]" caption="Product_Name" numFmtId="0" hierarchy="8" level="1">
      <sharedItems count="1">
        <s v="Shirt"/>
      </sharedItems>
      <extLst>
        <ext xmlns:x15="http://schemas.microsoft.com/office/spreadsheetml/2010/11/main" uri="{4F2E5C28-24EA-4eb8-9CBF-B6C8F9C3D259}">
          <x15:cachedUniqueNames>
            <x15:cachedUniqueName index="0" name="[Table1].[Product_Name].&amp;[Shirt]"/>
          </x15:cachedUniqueNames>
        </ext>
      </extLst>
    </cacheField>
    <cacheField name="[Measures].[Sum of Sales]" caption="Sum of Sales" numFmtId="0" hierarchy="34" level="32767"/>
    <cacheField name="[Table1].[Product_Category].[Product_Category]" caption="Product_Category" numFmtId="0" hierarchy="7" level="1">
      <sharedItems containsSemiMixedTypes="0" containsNonDate="0" containsString="0"/>
    </cacheField>
  </cacheFields>
  <cacheHierarchies count="39">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7"/>
        </ext>
      </extLst>
    </cacheHierarchy>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mika" refreshedDate="46249.689195601852" backgroundQuery="1" createdVersion="3" refreshedVersion="8" minRefreshableVersion="3" recordCount="0" supportSubquery="1" supportAdvancedDrill="1" xr:uid="{38A9789E-1F96-4609-86DB-B68BD69C5A28}">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4"/>
        </ext>
      </extLst>
    </cacheHierarchy>
    <cacheHierarchy uniqueName="[Measures].[Total Sales]" caption="Total Sales" measure="1" displayFolder="" measureGroup="Table2" count="0"/>
    <cacheHierarchy uniqueName="[Measures].[Total Profit]" caption="Total Profit" measure="1" displayFolder="" measureGroup="Table2" count="0"/>
    <cacheHierarchy uniqueName="[Measures].[Total Orders]" caption="Total Orders" measure="1" displayFolder="" measureGroup="Table2" count="0"/>
    <cacheHierarchy uniqueName="[Measures].[Total Quantity]" caption="Total Quantity" measure="1" displayFolder="" measureGroup="Table2" count="0"/>
    <cacheHierarchy uniqueName="[Measures].[Top Product]" caption="Top Product"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Sales Goal]" caption="_Total Sales Goal" measure="1" displayFolder="" measureGroup="Table2" count="0" hidden="1"/>
    <cacheHierarchy uniqueName="[Measures].[_Total Sales Status]" caption="_Total Sales Status" measure="1" displayFolder="" measureGroup="Table2" count="0" hidden="1"/>
    <cacheHierarchy uniqueName="[Measures].[_Total Profit Goal]" caption="_Total Profit Goal" measure="1" displayFolder="" measureGroup="Table2" count="0" hidden="1"/>
    <cacheHierarchy uniqueName="[Measures].[_Total Profit Status]" caption="_Total Profit Status" measure="1" displayFolder="" measureGroup="Table2" count="0" hidden="1"/>
    <cacheHierarchy uniqueName="[Measures].[_Total Orders Goal]" caption="_Total Orders Goal" measure="1" displayFolder="" measureGroup="Table2" count="0" hidden="1"/>
    <cacheHierarchy uniqueName="[Measures].[_Total Orders Status]" caption="_Total Orders Status" measure="1" displayFolder="" measureGroup="Table2" count="0" hidden="1"/>
    <cacheHierarchy uniqueName="[Measures].[_Total Quantity Goal]" caption="_Total Quantity Goal" measure="1" displayFolder="" measureGroup="Table2" count="0" hidden="1"/>
    <cacheHierarchy uniqueName="[Measures].[_Total Quantity Status]" caption="_Total Quantity Status" measure="1" displayFolder="" measureGroup="Table2" count="0" hidden="1"/>
  </cacheHierarchies>
  <kpis count="4">
    <kpi uniqueName="Total Sales" caption="Total Sales" displayFolder="" measureGroup="Table2" parent="" value="[Measures].[Total Sales]" goal="[Measures].[_Total Sales Goal]" status="[Measures].[_Total Sales Status]" trend="" weight=""/>
    <kpi uniqueName="Total Profit" caption="Total Profit" displayFolder="" measureGroup="Table2" parent="" value="[Measures].[Total Profit]" goal="[Measures].[_Total Profit Goal]" status="[Measures].[_Total Profit Status]" trend="" weight=""/>
    <kpi uniqueName="Total Orders" caption="Total Orders" displayFolder="" measureGroup="Table2" parent="" value="[Measures].[Total Orders]" goal="[Measures].[_Total Orders Goal]" status="[Measures].[_Total Orders Status]" trend="" weight=""/>
    <kpi uniqueName="Total Quantity" caption="Total Quantity" displayFolder="" measureGroup="Table2" parent="" value="[Measures].[Total Quantity]" goal="[Measures].[_Total Quantity Goal]" status="[Measures].[_Total Quantity Status]" trend="" weight=""/>
  </kpis>
  <extLst>
    <ext xmlns:x14="http://schemas.microsoft.com/office/spreadsheetml/2009/9/main" uri="{725AE2AE-9491-48be-B2B4-4EB974FC3084}">
      <x14:pivotCacheDefinition slicerData="1" pivotCacheId="2631841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5-05-12T00:00:00"/>
    <s v="Divya"/>
    <x v="0"/>
    <n v="60"/>
    <s v="Hyderabad"/>
    <s v="Telangana"/>
    <x v="0"/>
    <s v="Mobile"/>
    <n v="3"/>
    <n v="23799"/>
    <n v="0.05"/>
    <s v="Credit Card"/>
    <n v="67827.149999999994"/>
    <n v="12349.88"/>
  </r>
  <r>
    <n v="1002"/>
    <d v="2025-12-20T00:00:00"/>
    <s v="Vijay"/>
    <x v="0"/>
    <n v="41"/>
    <s v="Bangalore"/>
    <s v="Karnataka"/>
    <x v="1"/>
    <s v="Oil"/>
    <n v="6"/>
    <n v="11251"/>
    <n v="0.15"/>
    <s v="Debit Card"/>
    <n v="57380.1"/>
    <n v="10369.91"/>
  </r>
  <r>
    <n v="1003"/>
    <d v="2025-07-06T00:00:00"/>
    <s v="Rahul"/>
    <x v="1"/>
    <n v="19"/>
    <s v="Bangalore"/>
    <s v="Karnataka"/>
    <x v="1"/>
    <s v="Coffee"/>
    <n v="1"/>
    <n v="21515"/>
    <n v="0.1"/>
    <s v="UPI"/>
    <n v="19363.5"/>
    <n v="2696.16"/>
  </r>
  <r>
    <n v="1004"/>
    <d v="2025-01-26T00:00:00"/>
    <s v="Priya"/>
    <x v="1"/>
    <n v="60"/>
    <s v="Delhi"/>
    <s v="Delhi"/>
    <x v="0"/>
    <s v="Headphones"/>
    <n v="3"/>
    <n v="19298"/>
    <n v="0"/>
    <s v="Debit Card"/>
    <n v="57894"/>
    <n v="13711.69"/>
  </r>
  <r>
    <n v="1005"/>
    <d v="2025-07-24T00:00:00"/>
    <s v="Vijay"/>
    <x v="0"/>
    <n v="60"/>
    <s v="Hyderabad"/>
    <s v="Telangana"/>
    <x v="0"/>
    <s v="Headphones"/>
    <n v="5"/>
    <n v="17950"/>
    <n v="0.05"/>
    <s v="Cash"/>
    <n v="85262.5"/>
    <n v="4646.29"/>
  </r>
  <r>
    <n v="1006"/>
    <d v="2025-04-15T00:00:00"/>
    <s v="Divya"/>
    <x v="0"/>
    <n v="29"/>
    <s v="Hyderabad"/>
    <s v="Telangana"/>
    <x v="2"/>
    <s v="Shirt"/>
    <n v="7"/>
    <n v="19711"/>
    <n v="0.15"/>
    <s v="Debit Card"/>
    <n v="117280.45"/>
    <n v="26376.54"/>
  </r>
  <r>
    <n v="1007"/>
    <d v="2025-04-29T00:00:00"/>
    <s v="Arun"/>
    <x v="0"/>
    <n v="24"/>
    <s v="Delhi"/>
    <s v="Delhi"/>
    <x v="2"/>
    <s v="Shoes"/>
    <n v="5"/>
    <n v="14404"/>
    <n v="0.05"/>
    <s v="Credit Card"/>
    <n v="68419"/>
    <n v="11118.33"/>
  </r>
  <r>
    <n v="1008"/>
    <d v="2025-07-19T00:00:00"/>
    <s v="Vijay"/>
    <x v="0"/>
    <n v="37"/>
    <s v="Bangalore"/>
    <s v="Karnataka"/>
    <x v="2"/>
    <s v="Jeans"/>
    <n v="6"/>
    <n v="8985"/>
    <n v="0.05"/>
    <s v="Credit Card"/>
    <n v="51214.5"/>
    <n v="5910.21"/>
  </r>
  <r>
    <n v="1009"/>
    <d v="2025-10-05T00:00:00"/>
    <s v="Arun"/>
    <x v="1"/>
    <n v="40"/>
    <s v="Delhi"/>
    <s v="Delhi"/>
    <x v="2"/>
    <s v="Jeans"/>
    <n v="1"/>
    <n v="26543"/>
    <n v="0"/>
    <s v="UPI"/>
    <n v="26543"/>
    <n v="2539.61"/>
  </r>
  <r>
    <n v="1010"/>
    <d v="2025-02-28T00:00:00"/>
    <s v="Rohan"/>
    <x v="0"/>
    <n v="56"/>
    <s v="Hyderabad"/>
    <s v="Telangana"/>
    <x v="2"/>
    <s v="Shoes"/>
    <n v="2"/>
    <n v="44514"/>
    <n v="0.15"/>
    <s v="Credit Card"/>
    <n v="75673.8"/>
    <n v="12284.25"/>
  </r>
  <r>
    <n v="1011"/>
    <d v="2025-06-19T00:00:00"/>
    <s v="Sneha"/>
    <x v="0"/>
    <n v="58"/>
    <s v="Bangalore"/>
    <s v="Karnataka"/>
    <x v="3"/>
    <s v="Table"/>
    <n v="4"/>
    <n v="44906"/>
    <n v="0"/>
    <s v="Credit Card"/>
    <n v="179624"/>
    <n v="39452.82"/>
  </r>
  <r>
    <n v="1012"/>
    <d v="2025-12-24T00:00:00"/>
    <s v="Rahul"/>
    <x v="1"/>
    <n v="47"/>
    <s v="Hyderabad"/>
    <s v="Telangana"/>
    <x v="0"/>
    <s v="Laptop"/>
    <n v="5"/>
    <n v="4083"/>
    <n v="0.05"/>
    <s v="Debit Card"/>
    <n v="19394.25"/>
    <n v="1707.7"/>
  </r>
  <r>
    <n v="1013"/>
    <d v="2025-05-15T00:00:00"/>
    <s v="Rohan"/>
    <x v="0"/>
    <n v="29"/>
    <s v="Chennai"/>
    <s v="Tamil Nadu"/>
    <x v="2"/>
    <s v="Shirt"/>
    <n v="8"/>
    <n v="7753"/>
    <n v="0"/>
    <s v="UPI"/>
    <n v="62024"/>
    <n v="12357.88"/>
  </r>
  <r>
    <n v="1014"/>
    <d v="2025-09-14T00:00:00"/>
    <s v="Priya"/>
    <x v="1"/>
    <n v="25"/>
    <s v="Mumbai"/>
    <s v="Maharashtra"/>
    <x v="1"/>
    <s v="Oil"/>
    <n v="6"/>
    <n v="46853"/>
    <n v="0.1"/>
    <s v="UPI"/>
    <n v="253006.2"/>
    <n v="25188.19"/>
  </r>
  <r>
    <n v="1015"/>
    <d v="2025-01-04T00:00:00"/>
    <s v="Vijay"/>
    <x v="1"/>
    <n v="54"/>
    <s v="Chennai"/>
    <s v="Tamil Nadu"/>
    <x v="2"/>
    <s v="Jeans"/>
    <n v="4"/>
    <n v="26130"/>
    <n v="0.15"/>
    <s v="UPI"/>
    <n v="88842"/>
    <n v="14144.16"/>
  </r>
  <r>
    <n v="1016"/>
    <d v="2025-06-07T00:00:00"/>
    <s v="Rohan"/>
    <x v="1"/>
    <n v="48"/>
    <s v="Mumbai"/>
    <s v="Maharashtra"/>
    <x v="0"/>
    <s v="Laptop"/>
    <n v="5"/>
    <n v="18812"/>
    <n v="0"/>
    <s v="Credit Card"/>
    <n v="94060"/>
    <n v="15129.34"/>
  </r>
  <r>
    <n v="1017"/>
    <d v="2025-09-17T00:00:00"/>
    <s v="Ananya"/>
    <x v="1"/>
    <n v="22"/>
    <s v="Chennai"/>
    <s v="Tamil Nadu"/>
    <x v="2"/>
    <s v="Shirt"/>
    <n v="8"/>
    <n v="26955"/>
    <n v="0.1"/>
    <s v="Credit Card"/>
    <n v="194076"/>
    <n v="41812.730000000003"/>
  </r>
  <r>
    <n v="1018"/>
    <d v="2025-02-01T00:00:00"/>
    <s v="Priya"/>
    <x v="1"/>
    <n v="25"/>
    <s v="Chennai"/>
    <s v="Tamil Nadu"/>
    <x v="3"/>
    <s v="Lamp"/>
    <n v="1"/>
    <n v="49514"/>
    <n v="0.05"/>
    <s v="Credit Card"/>
    <n v="47038.3"/>
    <n v="5829.6"/>
  </r>
  <r>
    <n v="1019"/>
    <d v="2025-04-14T00:00:00"/>
    <s v="Sneha"/>
    <x v="0"/>
    <n v="26"/>
    <s v="Bangalore"/>
    <s v="Karnataka"/>
    <x v="1"/>
    <s v="Oil"/>
    <n v="5"/>
    <n v="35306"/>
    <n v="0.1"/>
    <s v="UPI"/>
    <n v="158877"/>
    <n v="21693.59"/>
  </r>
  <r>
    <n v="1020"/>
    <d v="2025-09-18T00:00:00"/>
    <s v="Karthik"/>
    <x v="1"/>
    <n v="37"/>
    <s v="Chennai"/>
    <s v="Tamil Nadu"/>
    <x v="2"/>
    <s v="Shirt"/>
    <n v="1"/>
    <n v="11262"/>
    <n v="0.15"/>
    <s v="UPI"/>
    <n v="9572.7000000000007"/>
    <n v="2137.62"/>
  </r>
  <r>
    <n v="1021"/>
    <d v="2025-03-25T00:00:00"/>
    <s v="Priya"/>
    <x v="0"/>
    <n v="27"/>
    <s v="Mumbai"/>
    <s v="Maharashtra"/>
    <x v="3"/>
    <s v="Table"/>
    <n v="6"/>
    <n v="31467"/>
    <n v="0.1"/>
    <s v="Cash"/>
    <n v="169921.8"/>
    <n v="12730"/>
  </r>
  <r>
    <n v="1022"/>
    <d v="2025-12-14T00:00:00"/>
    <s v="Divya"/>
    <x v="1"/>
    <n v="47"/>
    <s v="Hyderabad"/>
    <s v="Telangana"/>
    <x v="0"/>
    <s v="Tablet"/>
    <n v="4"/>
    <n v="1589"/>
    <n v="0"/>
    <s v="Credit Card"/>
    <n v="6356"/>
    <n v="744.71"/>
  </r>
  <r>
    <n v="1023"/>
    <d v="2025-08-18T00:00:00"/>
    <s v="Ananya"/>
    <x v="1"/>
    <n v="43"/>
    <s v="Hyderabad"/>
    <s v="Telangana"/>
    <x v="0"/>
    <s v="Mobile"/>
    <n v="6"/>
    <n v="16984"/>
    <n v="0.05"/>
    <s v="UPI"/>
    <n v="96808.8"/>
    <n v="5607.78"/>
  </r>
  <r>
    <n v="1024"/>
    <d v="2025-09-27T00:00:00"/>
    <s v="Priya"/>
    <x v="0"/>
    <n v="50"/>
    <s v="Delhi"/>
    <s v="Delhi"/>
    <x v="0"/>
    <s v="Laptop"/>
    <n v="7"/>
    <n v="13460"/>
    <n v="0.1"/>
    <s v="Debit Card"/>
    <n v="84798"/>
    <n v="19753.02"/>
  </r>
  <r>
    <n v="1025"/>
    <d v="2025-11-15T00:00:00"/>
    <s v="Vijay"/>
    <x v="1"/>
    <n v="53"/>
    <s v="Chennai"/>
    <s v="Tamil Nadu"/>
    <x v="1"/>
    <s v="Snacks"/>
    <n v="8"/>
    <n v="3184"/>
    <n v="0"/>
    <s v="Cash"/>
    <n v="25472"/>
    <n v="2324.27"/>
  </r>
  <r>
    <n v="1026"/>
    <d v="2025-05-14T00:00:00"/>
    <s v="Rohan"/>
    <x v="0"/>
    <n v="34"/>
    <s v="Bangalore"/>
    <s v="Karnataka"/>
    <x v="0"/>
    <s v="Headphones"/>
    <n v="5"/>
    <n v="13669"/>
    <n v="0.05"/>
    <s v="Credit Card"/>
    <n v="64927.75"/>
    <n v="4244.5"/>
  </r>
  <r>
    <n v="1027"/>
    <d v="2025-10-08T00:00:00"/>
    <s v="Rohan"/>
    <x v="1"/>
    <n v="39"/>
    <s v="Hyderabad"/>
    <s v="Telangana"/>
    <x v="3"/>
    <s v="Sofa"/>
    <n v="1"/>
    <n v="6462"/>
    <n v="0.05"/>
    <s v="Debit Card"/>
    <n v="6138.9"/>
    <n v="1450.04"/>
  </r>
  <r>
    <n v="1028"/>
    <d v="2025-02-27T00:00:00"/>
    <s v="Rohan"/>
    <x v="0"/>
    <n v="34"/>
    <s v="Bangalore"/>
    <s v="Karnataka"/>
    <x v="1"/>
    <s v="Coffee"/>
    <n v="3"/>
    <n v="30422"/>
    <n v="0"/>
    <s v="Debit Card"/>
    <n v="91266"/>
    <n v="17198.54"/>
  </r>
  <r>
    <n v="1029"/>
    <d v="2025-11-28T00:00:00"/>
    <s v="Sneha"/>
    <x v="0"/>
    <n v="21"/>
    <s v="Chennai"/>
    <s v="Tamil Nadu"/>
    <x v="3"/>
    <s v="Chair"/>
    <n v="5"/>
    <n v="15417"/>
    <n v="0.15"/>
    <s v="UPI"/>
    <n v="65522.25"/>
    <n v="8106.02"/>
  </r>
  <r>
    <n v="1030"/>
    <d v="2025-02-27T00:00:00"/>
    <s v="Arun"/>
    <x v="1"/>
    <n v="20"/>
    <s v="Delhi"/>
    <s v="Delhi"/>
    <x v="2"/>
    <s v="Shirt"/>
    <n v="4"/>
    <n v="29408"/>
    <n v="0.15"/>
    <s v="Cash"/>
    <n v="99987.199999999997"/>
    <n v="22743.82"/>
  </r>
  <r>
    <n v="1031"/>
    <d v="2025-10-18T00:00:00"/>
    <s v="Divya"/>
    <x v="1"/>
    <n v="34"/>
    <s v="Mumbai"/>
    <s v="Maharashtra"/>
    <x v="2"/>
    <s v="Dress"/>
    <n v="4"/>
    <n v="33718"/>
    <n v="0.15"/>
    <s v="Cash"/>
    <n v="114641.2"/>
    <n v="28134.49"/>
  </r>
  <r>
    <n v="1032"/>
    <d v="2025-08-13T00:00:00"/>
    <s v="Priya"/>
    <x v="1"/>
    <n v="56"/>
    <s v="Delhi"/>
    <s v="Delhi"/>
    <x v="2"/>
    <s v="Shirt"/>
    <n v="6"/>
    <n v="28453"/>
    <n v="0.15"/>
    <s v="Debit Card"/>
    <n v="145110.29999999999"/>
    <n v="12391.31"/>
  </r>
  <r>
    <n v="1033"/>
    <d v="2025-12-27T00:00:00"/>
    <s v="Divya"/>
    <x v="1"/>
    <n v="42"/>
    <s v="Delhi"/>
    <s v="Delhi"/>
    <x v="0"/>
    <s v="Laptop"/>
    <n v="3"/>
    <n v="35526"/>
    <n v="0"/>
    <s v="Credit Card"/>
    <n v="106578"/>
    <n v="8564.39"/>
  </r>
  <r>
    <n v="1034"/>
    <d v="2025-02-09T00:00:00"/>
    <s v="Ananya"/>
    <x v="1"/>
    <n v="36"/>
    <s v="Delhi"/>
    <s v="Delhi"/>
    <x v="0"/>
    <s v="Laptop"/>
    <n v="1"/>
    <n v="39276"/>
    <n v="0.15"/>
    <s v="Cash"/>
    <n v="33384.6"/>
    <n v="5955.46"/>
  </r>
  <r>
    <n v="1035"/>
    <d v="2025-06-04T00:00:00"/>
    <s v="Vijay"/>
    <x v="0"/>
    <n v="45"/>
    <s v="Delhi"/>
    <s v="Delhi"/>
    <x v="0"/>
    <s v="Tablet"/>
    <n v="1"/>
    <n v="44748"/>
    <n v="0.1"/>
    <s v="Cash"/>
    <n v="40273.199999999997"/>
    <n v="8935.52"/>
  </r>
  <r>
    <n v="1036"/>
    <d v="2025-12-17T00:00:00"/>
    <s v="Divya"/>
    <x v="1"/>
    <n v="29"/>
    <s v="Chennai"/>
    <s v="Tamil Nadu"/>
    <x v="3"/>
    <s v="Chair"/>
    <n v="1"/>
    <n v="48840"/>
    <n v="0.05"/>
    <s v="UPI"/>
    <n v="46398"/>
    <n v="9766.52"/>
  </r>
  <r>
    <n v="1037"/>
    <d v="2025-02-19T00:00:00"/>
    <s v="Meena"/>
    <x v="1"/>
    <n v="40"/>
    <s v="Bangalore"/>
    <s v="Karnataka"/>
    <x v="3"/>
    <s v="Sofa"/>
    <n v="2"/>
    <n v="3409"/>
    <n v="0.15"/>
    <s v="UPI"/>
    <n v="5795.3"/>
    <n v="1369.91"/>
  </r>
  <r>
    <n v="1038"/>
    <d v="2025-12-25T00:00:00"/>
    <s v="Meena"/>
    <x v="1"/>
    <n v="34"/>
    <s v="Bangalore"/>
    <s v="Karnataka"/>
    <x v="1"/>
    <s v="Rice"/>
    <n v="7"/>
    <n v="37297"/>
    <n v="0.15"/>
    <s v="Credit Card"/>
    <n v="221917.15"/>
    <n v="19403.39"/>
  </r>
  <r>
    <n v="1039"/>
    <d v="2025-01-28T00:00:00"/>
    <s v="Sneha"/>
    <x v="0"/>
    <n v="56"/>
    <s v="Mumbai"/>
    <s v="Maharashtra"/>
    <x v="0"/>
    <s v="Tablet"/>
    <n v="5"/>
    <n v="25131"/>
    <n v="0.15"/>
    <s v="Credit Card"/>
    <n v="106806.75"/>
    <n v="24628.82"/>
  </r>
  <r>
    <n v="1040"/>
    <d v="2025-12-05T00:00:00"/>
    <s v="Rahul"/>
    <x v="1"/>
    <n v="30"/>
    <s v="Delhi"/>
    <s v="Delhi"/>
    <x v="0"/>
    <s v="Tablet"/>
    <n v="6"/>
    <n v="40438"/>
    <n v="0.15"/>
    <s v="Credit Card"/>
    <n v="206233.8"/>
    <n v="17146.09"/>
  </r>
  <r>
    <n v="1041"/>
    <d v="2025-02-20T00:00:00"/>
    <s v="Ananya"/>
    <x v="1"/>
    <n v="19"/>
    <s v="Mumbai"/>
    <s v="Maharashtra"/>
    <x v="1"/>
    <s v="Oil"/>
    <n v="2"/>
    <n v="41084"/>
    <n v="0.1"/>
    <s v="Credit Card"/>
    <n v="73951.199999999997"/>
    <n v="10915.8"/>
  </r>
  <r>
    <n v="1042"/>
    <d v="2025-08-25T00:00:00"/>
    <s v="Rohan"/>
    <x v="0"/>
    <n v="50"/>
    <s v="Mumbai"/>
    <s v="Maharashtra"/>
    <x v="1"/>
    <s v="Oil"/>
    <n v="1"/>
    <n v="8503"/>
    <n v="0.05"/>
    <s v="Debit Card"/>
    <n v="8077.85"/>
    <n v="1652.82"/>
  </r>
  <r>
    <n v="1043"/>
    <d v="2025-10-31T00:00:00"/>
    <s v="Ananya"/>
    <x v="1"/>
    <n v="21"/>
    <s v="Hyderabad"/>
    <s v="Telangana"/>
    <x v="2"/>
    <s v="Shirt"/>
    <n v="6"/>
    <n v="38001"/>
    <n v="0.15"/>
    <s v="Debit Card"/>
    <n v="193805.1"/>
    <n v="43753.25"/>
  </r>
  <r>
    <n v="1044"/>
    <d v="2025-03-02T00:00:00"/>
    <s v="Vijay"/>
    <x v="1"/>
    <n v="45"/>
    <s v="Chennai"/>
    <s v="Tamil Nadu"/>
    <x v="0"/>
    <s v="Mobile"/>
    <n v="2"/>
    <n v="17525"/>
    <n v="0.1"/>
    <s v="Cash"/>
    <n v="31545"/>
    <n v="4241.68"/>
  </r>
  <r>
    <n v="1045"/>
    <d v="2025-11-13T00:00:00"/>
    <s v="Rahul"/>
    <x v="1"/>
    <n v="37"/>
    <s v="Chennai"/>
    <s v="Tamil Nadu"/>
    <x v="3"/>
    <s v="Table"/>
    <n v="4"/>
    <n v="18243"/>
    <n v="0.1"/>
    <s v="Credit Card"/>
    <n v="65674.8"/>
    <n v="6237.18"/>
  </r>
  <r>
    <n v="1046"/>
    <d v="2025-07-01T00:00:00"/>
    <s v="Ananya"/>
    <x v="1"/>
    <n v="40"/>
    <s v="Chennai"/>
    <s v="Tamil Nadu"/>
    <x v="1"/>
    <s v="Rice"/>
    <n v="4"/>
    <n v="11459"/>
    <n v="0.05"/>
    <s v="Cash"/>
    <n v="43544.2"/>
    <n v="5364.58"/>
  </r>
  <r>
    <n v="1047"/>
    <d v="2025-11-08T00:00:00"/>
    <s v="Arun"/>
    <x v="0"/>
    <n v="55"/>
    <s v="Bangalore"/>
    <s v="Karnataka"/>
    <x v="3"/>
    <s v="Lamp"/>
    <n v="6"/>
    <n v="10415"/>
    <n v="0"/>
    <s v="Credit Card"/>
    <n v="62490"/>
    <n v="8887.1"/>
  </r>
  <r>
    <n v="1048"/>
    <d v="2025-12-01T00:00:00"/>
    <s v="Divya"/>
    <x v="1"/>
    <n v="56"/>
    <s v="Chennai"/>
    <s v="Tamil Nadu"/>
    <x v="0"/>
    <s v="Laptop"/>
    <n v="2"/>
    <n v="21251"/>
    <n v="0.15"/>
    <s v="Cash"/>
    <n v="36126.699999999997"/>
    <n v="7146.03"/>
  </r>
  <r>
    <n v="1049"/>
    <d v="2025-09-27T00:00:00"/>
    <s v="Karthik"/>
    <x v="1"/>
    <n v="55"/>
    <s v="Chennai"/>
    <s v="Tamil Nadu"/>
    <x v="2"/>
    <s v="Shirt"/>
    <n v="4"/>
    <n v="5857"/>
    <n v="0.15"/>
    <s v="Debit Card"/>
    <n v="19913.8"/>
    <n v="4803.96"/>
  </r>
  <r>
    <n v="1050"/>
    <d v="2025-05-07T00:00:00"/>
    <s v="Sneha"/>
    <x v="0"/>
    <n v="43"/>
    <s v="Delhi"/>
    <s v="Delhi"/>
    <x v="3"/>
    <s v="Lamp"/>
    <n v="4"/>
    <n v="7389"/>
    <n v="0"/>
    <s v="UPI"/>
    <n v="29556"/>
    <n v="5359.92"/>
  </r>
  <r>
    <n v="1051"/>
    <d v="2025-03-11T00:00:00"/>
    <s v="Sneha"/>
    <x v="0"/>
    <n v="54"/>
    <s v="Delhi"/>
    <s v="Delhi"/>
    <x v="0"/>
    <s v="Mobile"/>
    <n v="4"/>
    <n v="43180"/>
    <n v="0.1"/>
    <s v="UPI"/>
    <n v="155448"/>
    <n v="37224.410000000003"/>
  </r>
  <r>
    <n v="1052"/>
    <d v="2025-11-12T00:00:00"/>
    <s v="Rohan"/>
    <x v="1"/>
    <n v="36"/>
    <s v="Bangalore"/>
    <s v="Karnataka"/>
    <x v="3"/>
    <s v="Table"/>
    <n v="4"/>
    <n v="44040"/>
    <n v="0"/>
    <s v="Cash"/>
    <n v="176160"/>
    <n v="19625.46"/>
  </r>
  <r>
    <n v="1053"/>
    <d v="2025-12-24T00:00:00"/>
    <s v="Ananya"/>
    <x v="0"/>
    <n v="57"/>
    <s v="Bangalore"/>
    <s v="Karnataka"/>
    <x v="3"/>
    <s v="Lamp"/>
    <n v="3"/>
    <n v="36908"/>
    <n v="0.1"/>
    <s v="Debit Card"/>
    <n v="99651.6"/>
    <n v="7750.28"/>
  </r>
  <r>
    <n v="1054"/>
    <d v="2025-10-31T00:00:00"/>
    <s v="Ananya"/>
    <x v="0"/>
    <n v="42"/>
    <s v="Delhi"/>
    <s v="Delhi"/>
    <x v="2"/>
    <s v="Shirt"/>
    <n v="7"/>
    <n v="36851"/>
    <n v="0.1"/>
    <s v="Credit Card"/>
    <n v="232161.3"/>
    <n v="48500.24"/>
  </r>
  <r>
    <n v="1055"/>
    <d v="2025-08-14T00:00:00"/>
    <s v="Priya"/>
    <x v="0"/>
    <n v="38"/>
    <s v="Chennai"/>
    <s v="Tamil Nadu"/>
    <x v="1"/>
    <s v="Coffee"/>
    <n v="5"/>
    <n v="22870"/>
    <n v="0.15"/>
    <s v="UPI"/>
    <n v="97197.5"/>
    <n v="21156.48"/>
  </r>
  <r>
    <n v="1056"/>
    <d v="2025-11-17T00:00:00"/>
    <s v="Sneha"/>
    <x v="1"/>
    <n v="30"/>
    <s v="Hyderabad"/>
    <s v="Telangana"/>
    <x v="3"/>
    <s v="Table"/>
    <n v="2"/>
    <n v="6733"/>
    <n v="0.15"/>
    <s v="Cash"/>
    <n v="11446.1"/>
    <n v="2617.3000000000002"/>
  </r>
  <r>
    <n v="1057"/>
    <d v="2025-04-30T00:00:00"/>
    <s v="Rahul"/>
    <x v="0"/>
    <n v="50"/>
    <s v="Bangalore"/>
    <s v="Karnataka"/>
    <x v="0"/>
    <s v="Mobile"/>
    <n v="6"/>
    <n v="30401"/>
    <n v="0.05"/>
    <s v="UPI"/>
    <n v="173285.7"/>
    <n v="27381.88"/>
  </r>
  <r>
    <n v="1058"/>
    <d v="2025-03-19T00:00:00"/>
    <s v="Ananya"/>
    <x v="0"/>
    <n v="34"/>
    <s v="Delhi"/>
    <s v="Delhi"/>
    <x v="2"/>
    <s v="Shirt"/>
    <n v="6"/>
    <n v="48799"/>
    <n v="0.15"/>
    <s v="Credit Card"/>
    <n v="248874.9"/>
    <n v="21389.439999999999"/>
  </r>
  <r>
    <n v="1059"/>
    <d v="2025-09-22T00:00:00"/>
    <s v="Arun"/>
    <x v="1"/>
    <n v="30"/>
    <s v="Delhi"/>
    <s v="Delhi"/>
    <x v="2"/>
    <s v="Shoes"/>
    <n v="6"/>
    <n v="31431"/>
    <n v="0.05"/>
    <s v="Credit Card"/>
    <n v="179156.7"/>
    <n v="40839.56"/>
  </r>
  <r>
    <n v="1060"/>
    <d v="2025-08-16T00:00:00"/>
    <s v="Rohan"/>
    <x v="1"/>
    <n v="37"/>
    <s v="Chennai"/>
    <s v="Tamil Nadu"/>
    <x v="3"/>
    <s v="Lamp"/>
    <n v="3"/>
    <n v="47263"/>
    <n v="0.15"/>
    <s v="Cash"/>
    <n v="120520.65"/>
    <n v="11965.26"/>
  </r>
  <r>
    <n v="1061"/>
    <d v="2025-12-05T00:00:00"/>
    <s v="Meena"/>
    <x v="0"/>
    <n v="19"/>
    <s v="Bangalore"/>
    <s v="Karnataka"/>
    <x v="1"/>
    <s v="Coffee"/>
    <n v="5"/>
    <n v="23868"/>
    <n v="0.15"/>
    <s v="Credit Card"/>
    <n v="101439"/>
    <n v="6466.06"/>
  </r>
  <r>
    <n v="1062"/>
    <d v="2025-02-26T00:00:00"/>
    <s v="Rahul"/>
    <x v="1"/>
    <n v="49"/>
    <s v="Bangalore"/>
    <s v="Karnataka"/>
    <x v="0"/>
    <s v="Laptop"/>
    <n v="1"/>
    <n v="21375"/>
    <n v="0.15"/>
    <s v="Cash"/>
    <n v="18168.75"/>
    <n v="2779.77"/>
  </r>
  <r>
    <n v="1063"/>
    <d v="2025-04-23T00:00:00"/>
    <s v="Priya"/>
    <x v="1"/>
    <n v="57"/>
    <s v="Bangalore"/>
    <s v="Karnataka"/>
    <x v="2"/>
    <s v="Shirt"/>
    <n v="2"/>
    <n v="39583"/>
    <n v="0"/>
    <s v="Cash"/>
    <n v="79166"/>
    <n v="7962.32"/>
  </r>
  <r>
    <n v="1064"/>
    <d v="2025-02-26T00:00:00"/>
    <s v="Ananya"/>
    <x v="0"/>
    <n v="36"/>
    <s v="Bangalore"/>
    <s v="Karnataka"/>
    <x v="1"/>
    <s v="Coffee"/>
    <n v="8"/>
    <n v="32199"/>
    <n v="0.05"/>
    <s v="Cash"/>
    <n v="244712.4"/>
    <n v="24597.89"/>
  </r>
  <r>
    <n v="1065"/>
    <d v="2025-05-10T00:00:00"/>
    <s v="Divya"/>
    <x v="0"/>
    <n v="48"/>
    <s v="Delhi"/>
    <s v="Delhi"/>
    <x v="1"/>
    <s v="Oil"/>
    <n v="3"/>
    <n v="16893"/>
    <n v="0"/>
    <s v="Cash"/>
    <n v="50679"/>
    <n v="9081.98"/>
  </r>
  <r>
    <n v="1066"/>
    <d v="2025-06-14T00:00:00"/>
    <s v="Meena"/>
    <x v="0"/>
    <n v="32"/>
    <s v="Chennai"/>
    <s v="Tamil Nadu"/>
    <x v="0"/>
    <s v="Headphones"/>
    <n v="2"/>
    <n v="28742"/>
    <n v="0.05"/>
    <s v="UPI"/>
    <n v="54609.8"/>
    <n v="11754.3"/>
  </r>
  <r>
    <n v="1067"/>
    <d v="2025-11-04T00:00:00"/>
    <s v="Arun"/>
    <x v="1"/>
    <n v="24"/>
    <s v="Delhi"/>
    <s v="Delhi"/>
    <x v="3"/>
    <s v="Chair"/>
    <n v="5"/>
    <n v="33758"/>
    <n v="0.1"/>
    <s v="Credit Card"/>
    <n v="151911"/>
    <n v="20119.8"/>
  </r>
  <r>
    <n v="1068"/>
    <d v="2025-11-20T00:00:00"/>
    <s v="Ananya"/>
    <x v="0"/>
    <n v="53"/>
    <s v="Delhi"/>
    <s v="Delhi"/>
    <x v="2"/>
    <s v="Shirt"/>
    <n v="1"/>
    <n v="29366"/>
    <n v="0.1"/>
    <s v="UPI"/>
    <n v="26429.4"/>
    <n v="5746.61"/>
  </r>
  <r>
    <n v="1069"/>
    <d v="2025-11-03T00:00:00"/>
    <s v="Vijay"/>
    <x v="0"/>
    <n v="21"/>
    <s v="Mumbai"/>
    <s v="Maharashtra"/>
    <x v="0"/>
    <s v="Laptop"/>
    <n v="8"/>
    <n v="41798"/>
    <n v="0.1"/>
    <s v="Credit Card"/>
    <n v="300945.59999999998"/>
    <n v="24020.15"/>
  </r>
  <r>
    <n v="1070"/>
    <d v="2025-02-25T00:00:00"/>
    <s v="Vijay"/>
    <x v="0"/>
    <n v="42"/>
    <s v="Bangalore"/>
    <s v="Karnataka"/>
    <x v="0"/>
    <s v="Mobile"/>
    <n v="5"/>
    <n v="42362"/>
    <n v="0.15"/>
    <s v="Debit Card"/>
    <n v="180038.5"/>
    <n v="30968.93"/>
  </r>
  <r>
    <n v="1071"/>
    <d v="2025-09-29T00:00:00"/>
    <s v="Priya"/>
    <x v="0"/>
    <n v="32"/>
    <s v="Chennai"/>
    <s v="Tamil Nadu"/>
    <x v="1"/>
    <s v="Snacks"/>
    <n v="3"/>
    <n v="8779"/>
    <n v="0.05"/>
    <s v="Credit Card"/>
    <n v="25020.15"/>
    <n v="1445.36"/>
  </r>
  <r>
    <n v="1072"/>
    <d v="2025-12-16T00:00:00"/>
    <s v="Karthik"/>
    <x v="0"/>
    <n v="49"/>
    <s v="Mumbai"/>
    <s v="Maharashtra"/>
    <x v="2"/>
    <s v="Jeans"/>
    <n v="1"/>
    <n v="13123"/>
    <n v="0"/>
    <s v="Debit Card"/>
    <n v="13123"/>
    <n v="2963.35"/>
  </r>
  <r>
    <n v="1073"/>
    <d v="2025-07-29T00:00:00"/>
    <s v="Divya"/>
    <x v="1"/>
    <n v="35"/>
    <s v="Mumbai"/>
    <s v="Maharashtra"/>
    <x v="2"/>
    <s v="Shoes"/>
    <n v="3"/>
    <n v="26054"/>
    <n v="0.1"/>
    <s v="Cash"/>
    <n v="70345.8"/>
    <n v="6749.89"/>
  </r>
  <r>
    <n v="1074"/>
    <d v="2025-03-04T00:00:00"/>
    <s v="Divya"/>
    <x v="0"/>
    <n v="52"/>
    <s v="Bangalore"/>
    <s v="Karnataka"/>
    <x v="0"/>
    <s v="Laptop"/>
    <n v="4"/>
    <n v="8788"/>
    <n v="0.05"/>
    <s v="Cash"/>
    <n v="33394.400000000001"/>
    <n v="5942.22"/>
  </r>
  <r>
    <n v="1075"/>
    <d v="2025-04-26T00:00:00"/>
    <s v="Divya"/>
    <x v="0"/>
    <n v="50"/>
    <s v="Chennai"/>
    <s v="Tamil Nadu"/>
    <x v="3"/>
    <s v="Sofa"/>
    <n v="2"/>
    <n v="35224"/>
    <n v="0.1"/>
    <s v="UPI"/>
    <n v="63403.199999999997"/>
    <n v="5787.62"/>
  </r>
  <r>
    <n v="1076"/>
    <d v="2025-03-23T00:00:00"/>
    <s v="Priya"/>
    <x v="1"/>
    <n v="23"/>
    <s v="Bangalore"/>
    <s v="Karnataka"/>
    <x v="2"/>
    <s v="Jeans"/>
    <n v="3"/>
    <n v="28602"/>
    <n v="0.1"/>
    <s v="Cash"/>
    <n v="77225.399999999994"/>
    <n v="5798.35"/>
  </r>
  <r>
    <n v="1077"/>
    <d v="2025-09-17T00:00:00"/>
    <s v="Rohan"/>
    <x v="0"/>
    <n v="45"/>
    <s v="Delhi"/>
    <s v="Delhi"/>
    <x v="1"/>
    <s v="Coffee"/>
    <n v="5"/>
    <n v="23453"/>
    <n v="0"/>
    <s v="Credit Card"/>
    <n v="117265"/>
    <n v="11323.16"/>
  </r>
  <r>
    <n v="1078"/>
    <d v="2025-06-04T00:00:00"/>
    <s v="Priya"/>
    <x v="0"/>
    <n v="23"/>
    <s v="Bangalore"/>
    <s v="Karnataka"/>
    <x v="1"/>
    <s v="Snacks"/>
    <n v="4"/>
    <n v="29515"/>
    <n v="0.15"/>
    <s v="Debit Card"/>
    <n v="100351"/>
    <n v="20865.830000000002"/>
  </r>
  <r>
    <n v="1079"/>
    <d v="2025-10-18T00:00:00"/>
    <s v="Vijay"/>
    <x v="1"/>
    <n v="38"/>
    <s v="Hyderabad"/>
    <s v="Telangana"/>
    <x v="2"/>
    <s v="Shirt"/>
    <n v="8"/>
    <n v="25604"/>
    <n v="0.15"/>
    <s v="Cash"/>
    <n v="174107.2"/>
    <n v="13705.81"/>
  </r>
  <r>
    <n v="1080"/>
    <d v="2025-05-15T00:00:00"/>
    <s v="Meena"/>
    <x v="0"/>
    <n v="41"/>
    <s v="Bangalore"/>
    <s v="Karnataka"/>
    <x v="1"/>
    <s v="Coffee"/>
    <n v="6"/>
    <n v="5679"/>
    <n v="0.15"/>
    <s v="Credit Card"/>
    <n v="28962.9"/>
    <n v="3076.36"/>
  </r>
  <r>
    <n v="1081"/>
    <d v="2025-02-04T00:00:00"/>
    <s v="Rahul"/>
    <x v="1"/>
    <n v="36"/>
    <s v="Mumbai"/>
    <s v="Maharashtra"/>
    <x v="0"/>
    <s v="Mobile"/>
    <n v="7"/>
    <n v="42043"/>
    <n v="0.1"/>
    <s v="Cash"/>
    <n v="264870.90000000002"/>
    <n v="61495.91"/>
  </r>
  <r>
    <n v="1082"/>
    <d v="2025-07-17T00:00:00"/>
    <s v="Rahul"/>
    <x v="0"/>
    <n v="51"/>
    <s v="Delhi"/>
    <s v="Delhi"/>
    <x v="3"/>
    <s v="Chair"/>
    <n v="4"/>
    <n v="1132"/>
    <n v="0.05"/>
    <s v="Debit Card"/>
    <n v="4301.6000000000004"/>
    <n v="492.53"/>
  </r>
  <r>
    <n v="1083"/>
    <d v="2025-02-10T00:00:00"/>
    <s v="Karthik"/>
    <x v="0"/>
    <n v="60"/>
    <s v="Bangalore"/>
    <s v="Karnataka"/>
    <x v="2"/>
    <s v="Shoes"/>
    <n v="5"/>
    <n v="32520"/>
    <n v="0.05"/>
    <s v="Credit Card"/>
    <n v="154470"/>
    <n v="13979.18"/>
  </r>
  <r>
    <n v="1084"/>
    <d v="2025-07-27T00:00:00"/>
    <s v="Ananya"/>
    <x v="1"/>
    <n v="41"/>
    <s v="Delhi"/>
    <s v="Delhi"/>
    <x v="2"/>
    <s v="Shirt"/>
    <n v="7"/>
    <n v="34271"/>
    <n v="0.15"/>
    <s v="UPI"/>
    <n v="203912.45"/>
    <n v="16086.44"/>
  </r>
  <r>
    <n v="1085"/>
    <d v="2025-04-01T00:00:00"/>
    <s v="Karthik"/>
    <x v="0"/>
    <n v="58"/>
    <s v="Chennai"/>
    <s v="Tamil Nadu"/>
    <x v="2"/>
    <s v="Shoes"/>
    <n v="4"/>
    <n v="35910"/>
    <n v="0.15"/>
    <s v="Debit Card"/>
    <n v="122094"/>
    <n v="29392.57"/>
  </r>
  <r>
    <n v="1086"/>
    <d v="2025-12-14T00:00:00"/>
    <s v="Rohan"/>
    <x v="0"/>
    <n v="32"/>
    <s v="Delhi"/>
    <s v="Delhi"/>
    <x v="3"/>
    <s v="Lamp"/>
    <n v="7"/>
    <n v="34092"/>
    <n v="0.05"/>
    <s v="Debit Card"/>
    <n v="226711.8"/>
    <n v="44754.05"/>
  </r>
  <r>
    <n v="1087"/>
    <d v="2025-03-03T00:00:00"/>
    <s v="Sneha"/>
    <x v="1"/>
    <n v="48"/>
    <s v="Delhi"/>
    <s v="Delhi"/>
    <x v="3"/>
    <s v="Chair"/>
    <n v="8"/>
    <n v="32793"/>
    <n v="0"/>
    <s v="Cash"/>
    <n v="262344"/>
    <n v="44858.28"/>
  </r>
  <r>
    <n v="1088"/>
    <d v="2025-11-27T00:00:00"/>
    <s v="Vijay"/>
    <x v="1"/>
    <n v="47"/>
    <s v="Chennai"/>
    <s v="Tamil Nadu"/>
    <x v="3"/>
    <s v="Table"/>
    <n v="6"/>
    <n v="14022"/>
    <n v="0.15"/>
    <s v="Debit Card"/>
    <n v="71512.2"/>
    <n v="4208.9399999999996"/>
  </r>
  <r>
    <n v="1089"/>
    <d v="2025-03-27T00:00:00"/>
    <s v="Divya"/>
    <x v="0"/>
    <n v="22"/>
    <s v="Bangalore"/>
    <s v="Karnataka"/>
    <x v="2"/>
    <s v="Jeans"/>
    <n v="1"/>
    <n v="29598"/>
    <n v="0"/>
    <s v="UPI"/>
    <n v="29598"/>
    <n v="5753.98"/>
  </r>
  <r>
    <n v="1090"/>
    <d v="2025-03-10T00:00:00"/>
    <s v="Rohan"/>
    <x v="1"/>
    <n v="33"/>
    <s v="Delhi"/>
    <s v="Delhi"/>
    <x v="1"/>
    <s v="Snacks"/>
    <n v="2"/>
    <n v="47524"/>
    <n v="0.1"/>
    <s v="Credit Card"/>
    <n v="85543.2"/>
    <n v="14179.3"/>
  </r>
  <r>
    <n v="1091"/>
    <d v="2025-02-19T00:00:00"/>
    <s v="Rohan"/>
    <x v="1"/>
    <n v="43"/>
    <s v="Bangalore"/>
    <s v="Karnataka"/>
    <x v="3"/>
    <s v="Chair"/>
    <n v="5"/>
    <n v="24575"/>
    <n v="0.15"/>
    <s v="Credit Card"/>
    <n v="104443.75"/>
    <n v="16377.91"/>
  </r>
  <r>
    <n v="1092"/>
    <d v="2025-06-05T00:00:00"/>
    <s v="Vijay"/>
    <x v="0"/>
    <n v="60"/>
    <s v="Bangalore"/>
    <s v="Karnataka"/>
    <x v="1"/>
    <s v="Coffee"/>
    <n v="5"/>
    <n v="25923"/>
    <n v="0.15"/>
    <s v="Credit Card"/>
    <n v="110172.75"/>
    <n v="14650.07"/>
  </r>
  <r>
    <n v="1093"/>
    <d v="2025-01-28T00:00:00"/>
    <s v="Karthik"/>
    <x v="1"/>
    <n v="38"/>
    <s v="Delhi"/>
    <s v="Delhi"/>
    <x v="3"/>
    <s v="Sofa"/>
    <n v="4"/>
    <n v="48415"/>
    <n v="0.15"/>
    <s v="Debit Card"/>
    <n v="164611"/>
    <n v="17796.3"/>
  </r>
  <r>
    <n v="1094"/>
    <d v="2025-02-02T00:00:00"/>
    <s v="Arun"/>
    <x v="1"/>
    <n v="45"/>
    <s v="Bangalore"/>
    <s v="Karnataka"/>
    <x v="0"/>
    <s v="Laptop"/>
    <n v="2"/>
    <n v="49077"/>
    <n v="0"/>
    <s v="Cash"/>
    <n v="98154"/>
    <n v="18466.22"/>
  </r>
  <r>
    <n v="1095"/>
    <d v="2025-06-20T00:00:00"/>
    <s v="Vijay"/>
    <x v="1"/>
    <n v="41"/>
    <s v="Bangalore"/>
    <s v="Karnataka"/>
    <x v="2"/>
    <s v="Shirt"/>
    <n v="5"/>
    <n v="30100"/>
    <n v="0.05"/>
    <s v="Debit Card"/>
    <n v="142975"/>
    <n v="19538.990000000002"/>
  </r>
  <r>
    <n v="1096"/>
    <d v="2025-12-04T00:00:00"/>
    <s v="Divya"/>
    <x v="0"/>
    <n v="29"/>
    <s v="Delhi"/>
    <s v="Delhi"/>
    <x v="2"/>
    <s v="Shoes"/>
    <n v="1"/>
    <n v="13218"/>
    <n v="0.1"/>
    <s v="Debit Card"/>
    <n v="11896.2"/>
    <n v="646.57000000000005"/>
  </r>
  <r>
    <n v="1097"/>
    <d v="2025-01-19T00:00:00"/>
    <s v="Arun"/>
    <x v="1"/>
    <n v="39"/>
    <s v="Delhi"/>
    <s v="Delhi"/>
    <x v="1"/>
    <s v="Snacks"/>
    <n v="4"/>
    <n v="16811"/>
    <n v="0.05"/>
    <s v="Debit Card"/>
    <n v="63881.8"/>
    <n v="5030.12"/>
  </r>
  <r>
    <n v="1098"/>
    <d v="2025-02-22T00:00:00"/>
    <s v="Ananya"/>
    <x v="0"/>
    <n v="41"/>
    <s v="Chennai"/>
    <s v="Tamil Nadu"/>
    <x v="2"/>
    <s v="Shirt"/>
    <n v="5"/>
    <n v="20049"/>
    <n v="0.05"/>
    <s v="UPI"/>
    <n v="95232.75"/>
    <n v="10988.71"/>
  </r>
  <r>
    <n v="1099"/>
    <d v="2025-08-10T00:00:00"/>
    <s v="Rahul"/>
    <x v="0"/>
    <n v="50"/>
    <s v="Hyderabad"/>
    <s v="Telangana"/>
    <x v="3"/>
    <s v="Lamp"/>
    <n v="4"/>
    <n v="31111"/>
    <n v="0.05"/>
    <s v="Cash"/>
    <n v="118221.8"/>
    <n v="26155.59"/>
  </r>
  <r>
    <n v="1100"/>
    <d v="2025-01-13T00:00:00"/>
    <s v="Karthik"/>
    <x v="0"/>
    <n v="18"/>
    <s v="Bangalore"/>
    <s v="Karnataka"/>
    <x v="2"/>
    <s v="Dress"/>
    <n v="8"/>
    <n v="47279"/>
    <n v="0"/>
    <s v="Cash"/>
    <n v="378232"/>
    <n v="71818.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5BCD0-5513-4A10-905B-0C5E15080234}" name="PivotTable3" cacheId="7" applyNumberFormats="0" applyBorderFormats="0" applyFontFormats="0" applyPatternFormats="0" applyAlignmentFormats="0" applyWidthHeightFormats="1" dataCaption="Values" tag="88e69440-6154-4066-8c18-b0ad660f1b66" updatedVersion="8" minRefreshableVersion="3" useAutoFormatting="1" subtotalHiddenItems="1" itemPrintTitles="1" createdVersion="8" indent="0" outline="1" outlineData="1" multipleFieldFilters="0" chartFormat="15" rowHeaderCaption="Top_products">
  <location ref="B34:C3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2" iMeasureHier="34">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631A23-A14E-45FE-8D0E-579386D60249}" name="PivotTable1" cacheId="5" applyNumberFormats="0" applyBorderFormats="0" applyFontFormats="0" applyPatternFormats="0" applyAlignmentFormats="0" applyWidthHeightFormats="1" dataCaption="Values" tag="557fdb46-09c5-4143-a00b-00e142fb735b" updatedVersion="8" minRefreshableVersion="3" useAutoFormatting="1" subtotalHiddenItems="1" itemPrintTitles="1" createdVersion="8" indent="0" outline="1" outlineData="1" multipleFieldFilters="0" chartFormat="46" rowHeaderCaption="product_category">
  <location ref="B4:C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6">
    <format dxfId="5">
      <pivotArea collapsedLevelsAreSubtotals="1" fieldPosition="0">
        <references count="1">
          <reference field="0" count="0"/>
        </references>
      </pivotArea>
    </format>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 dxfId="2">
      <pivotArea collapsedLevelsAreSubtotals="1" fieldPosition="0">
        <references count="1">
          <reference field="0" count="1">
            <x v="2"/>
          </reference>
        </references>
      </pivotArea>
    </format>
    <format dxfId="1">
      <pivotArea collapsedLevelsAreSubtotals="1" fieldPosition="0">
        <references count="1">
          <reference field="0" count="1">
            <x v="3"/>
          </reference>
        </references>
      </pivotArea>
    </format>
    <format dxfId="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3B124-CB99-42E6-9859-D3E51933D8B4}" name="PivotTable4" cacheId="8" applyNumberFormats="0" applyBorderFormats="0" applyFontFormats="0" applyPatternFormats="0" applyAlignmentFormats="0" applyWidthHeightFormats="1" dataCaption="Values" tag="43ed3774-7ffc-4245-b460-be5bc4d553fe" updatedVersion="8" minRefreshableVersion="3" useAutoFormatting="1" subtotalHiddenItems="1" itemPrintTitles="1" createdVersion="8" indent="0" outline="1" outlineData="1" multipleFieldFilters="0" chartFormat="15">
  <location ref="B50:C5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05C4B7-3B95-4406-84CF-1536155CBBE9}" name="PivotTable1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27" firstHeaderRow="0" firstDataRow="0" firstDataCol="0"/>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663684-BF88-45B7-8841-245FB176D5A9}"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31" firstHeaderRow="0" firstDataRow="0" firstDataCol="0"/>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FA445B-BD89-4082-8F9A-FAEEAC34A131}" name="PivotTable2" cacheId="6" applyNumberFormats="0" applyBorderFormats="0" applyFontFormats="0" applyPatternFormats="0" applyAlignmentFormats="0" applyWidthHeightFormats="1" dataCaption="Values" tag="8da451f8-b635-4c05-9bcb-23c1ab19897b" updatedVersion="8" minRefreshableVersion="3" useAutoFormatting="1" subtotalHiddenItems="1" itemPrintTitles="1" createdVersion="8" indent="0" outline="1" outlineData="1" multipleFieldFilters="0" chartFormat="20" rowHeaderCaption="monthly__sales">
  <location ref="B18:C31"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EC9F83-86F4-47D1-B604-632CF470A605}"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48:S5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3"/>
    </i>
    <i>
      <x v="2"/>
    </i>
    <i t="grand">
      <x/>
    </i>
  </rowItems>
  <colItems count="1">
    <i/>
  </colItems>
  <dataFields count="1">
    <dataField name="Sum of Profit"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BE18AF-EE72-45B5-BB44-C31C662D38CF}" name="PivotTable6" cacheId="9" applyNumberFormats="0" applyBorderFormats="0" applyFontFormats="0" applyPatternFormats="0" applyAlignmentFormats="0" applyWidthHeightFormats="1" dataCaption="Values" tag="f5fce6d7-1c94-446f-ba49-fbd5a9d1fbe1" updatedVersion="8" minRefreshableVersion="3" useAutoFormatting="1" subtotalHiddenItems="1" itemPrintTitles="1" createdVersion="8" indent="0" outline="1" outlineData="1" multipleFieldFilters="0" chartFormat="19">
  <location ref="B78:C8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0">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C7B417-BAB4-4338-8D18-64CCF6BCE09B}"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30" firstHeaderRow="0" firstDataRow="0" firstDataCol="0"/>
  <pivotFields count="2">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Order_ID"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40E5CE-6658-410F-BF92-DE30977443F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48:P53" firstHeaderRow="1" firstDataRow="1" firstDataCol="1"/>
  <pivotFields count="15">
    <pivotField showAll="0"/>
    <pivotField numFmtId="164" showAll="0"/>
    <pivotField showAll="0"/>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dataField="1" showAll="0"/>
    <pivotField showAll="0"/>
  </pivotFields>
  <rowFields count="1">
    <field x="7"/>
  </rowFields>
  <rowItems count="5">
    <i>
      <x v="1"/>
    </i>
    <i>
      <x/>
    </i>
    <i>
      <x v="3"/>
    </i>
    <i>
      <x v="2"/>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A6B215-93B9-4510-95B3-12DAAD33AE71}" name="PivotTable1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7:O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34">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1648D2-D443-48A3-8D66-E22D94315CD6}"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P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66"/>
    <dataField name="Sum of Profit" fld="1" baseField="0" baseItem="0" numFmtId="2"/>
    <dataField name="Count of Order_ID" fld="2" subtotal="count" baseField="0" baseItem="1"/>
  </dataFields>
  <formats count="4">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s>
  <pivotHierarchies count="4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1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CCAC21-DE51-4A32-BE3C-886DF164580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64:C67" firstHeaderRow="1" firstDataRow="1" firstDataCol="1"/>
  <pivotFields count="15">
    <pivotField showAll="0"/>
    <pivotField numFmtId="164"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numFmtId="9" showAll="0"/>
    <pivotField showAll="0"/>
    <pivotField showAll="0"/>
    <pivotField showAll="0"/>
  </pivotFields>
  <rowFields count="1">
    <field x="3"/>
  </rowFields>
  <rowItems count="3">
    <i>
      <x/>
    </i>
    <i>
      <x v="1"/>
    </i>
    <i t="grand">
      <x/>
    </i>
  </rowItems>
  <colItems count="1">
    <i/>
  </colItems>
  <dataFields count="1">
    <dataField name="Count of Customer_Name" fld="2"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0"/>
          </reference>
        </references>
      </pivotArea>
    </chartFormat>
    <chartFormat chart="10"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68B8C77-A03F-473F-9D5F-3504DCB7289F}" sourceName="[Table1].[State]">
  <pivotTables>
    <pivotTable tabId="2" name="PivotTable1"/>
    <pivotTable tabId="2" name="PivotTable2"/>
    <pivotTable tabId="2" name="PivotTable3"/>
    <pivotTable tabId="2" name="PivotTable4"/>
    <pivotTable tabId="2" name="PivotTable6"/>
    <pivotTable tabId="2" name="PivotTable12"/>
    <pivotTable tabId="2" name="PivotTable13"/>
  </pivotTables>
  <data>
    <olap pivotCacheId="263184186">
      <levels count="2">
        <level uniqueName="[Table1].[State].[(All)]" sourceCaption="(All)" count="0"/>
        <level uniqueName="[Table1].[State].[State]" sourceCaption="State" count="5">
          <ranges>
            <range startItem="0">
              <i n="[Table1].[State].&amp;[Delhi]" c="Delhi"/>
              <i n="[Table1].[State].&amp;[Karnataka]" c="Karnataka"/>
              <i n="[Table1].[State].&amp;[Maharashtra]" c="Maharashtra"/>
              <i n="[Table1].[State].&amp;[Tamil Nadu]" c="Tamil Nadu"/>
              <i n="[Table1].[State].&amp;[Telangana]" c="Telangana"/>
            </range>
          </ranges>
        </level>
      </levels>
      <selections count="1">
        <selection n="[Table1].[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17EA0FC-482F-4C65-86A1-D4C4D54FBDBD}" sourceName="[Table1].[Product_Category]">
  <pivotTables>
    <pivotTable tabId="2" name="PivotTable1"/>
    <pivotTable tabId="2" name="PivotTable2"/>
    <pivotTable tabId="2" name="PivotTable3"/>
    <pivotTable tabId="2" name="PivotTable4"/>
    <pivotTable tabId="2" name="PivotTable6"/>
    <pivotTable tabId="2" name="PivotTable12"/>
    <pivotTable tabId="2" name="PivotTable13"/>
  </pivotTables>
  <data>
    <olap pivotCacheId="263184186">
      <levels count="2">
        <level uniqueName="[Table1].[Product_Category].[(All)]" sourceCaption="(All)" count="0"/>
        <level uniqueName="[Table1].[Product_Category].[Product_Category]" sourceCaption="Product_Category" count="4">
          <ranges>
            <range startItem="0">
              <i n="[Table1].[Product_Category].&amp;[Electronics]" c="Electronics"/>
              <i n="[Table1].[Product_Category].&amp;[Fashion]" c="Fashion"/>
              <i n="[Table1].[Product_Category].&amp;[Grocery]" c="Grocery"/>
              <i n="[Table1].[Product_Category].&amp;[Home]" c="Home"/>
            </range>
          </ranges>
        </level>
      </levels>
      <selections count="1">
        <selection n="[Table1].[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2C7FD95-A021-49D2-B643-C08551D97141}" sourceName="[Table1].[Payment_Mode]">
  <pivotTables>
    <pivotTable tabId="2" name="PivotTable1"/>
    <pivotTable tabId="2" name="PivotTable2"/>
    <pivotTable tabId="2" name="PivotTable3"/>
    <pivotTable tabId="2" name="PivotTable4"/>
    <pivotTable tabId="2" name="PivotTable6"/>
    <pivotTable tabId="2" name="PivotTable12"/>
    <pivotTable tabId="2" name="PivotTable13"/>
  </pivotTables>
  <data>
    <olap pivotCacheId="263184186">
      <levels count="2">
        <level uniqueName="[Table1].[Payment_Mode].[(All)]" sourceCaption="(All)" count="0"/>
        <level uniqueName="[Table1].[Payment_Mode].[Payment_Mode]" sourceCaption="Payment_Mode" count="4">
          <ranges>
            <range startItem="0">
              <i n="[Table1].[Payment_Mode].&amp;[Cash]" c="Cash"/>
              <i n="[Table1].[Payment_Mode].&amp;[Credit Card]" c="Credit Card"/>
              <i n="[Table1].[Payment_Mode].&amp;[Debit Card]" c="Debit Card"/>
              <i n="[Table1].[Payment_Mode].&amp;[UPI]" c="UPI"/>
            </range>
          </ranges>
        </level>
      </levels>
      <selections count="1">
        <selection n="[Table1].[Payment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877D453-630B-43E8-A8B0-591EF8AFA24B}" cache="Slicer_State" caption="State" level="1" rowHeight="234950"/>
  <slicer name="Product_Category" xr10:uid="{463A2A20-7B5F-4A4A-BC9C-115B206B44C0}" cache="Slicer_Product_Category" caption="Product_Category" level="1" rowHeight="234950"/>
  <slicer name="Payment_Mode" xr10:uid="{F65F2772-2E18-4CD9-BCA5-8890DAA5F5BD}" cache="Slicer_Payment_Mode" caption="Payment_Mo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093D12A-6B5C-4AE5-8409-BAE39F1025AB}" cache="Slicer_State" caption="State" level="1" style="SlicerStyleLight5" rowHeight="234950"/>
  <slicer name="Product_Category 1" xr10:uid="{C6B99E61-D04E-4010-89E1-AF3519A43418}" cache="Slicer_Product_Category" caption="Category" level="1" style="SlicerStyleLight5" rowHeight="252000"/>
  <slicer name="Payment_Mode 1" xr10:uid="{ECF6E7BB-8F80-4DD4-B5C5-D277D9D5881C}" cache="Slicer_Payment_Mode" caption="Payment"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DF7FA-83B7-4C46-A094-25A00BC15920}" name="Table1" displayName="Table1" ref="A1:O101">
  <autoFilter ref="A1:O101" xr:uid="{D51DF7FA-83B7-4C46-A094-25A00BC15920}"/>
  <tableColumns count="15">
    <tableColumn id="1" xr3:uid="{677DF11B-7B65-43F4-8EEE-E698552E488E}" name="Order_ID"/>
    <tableColumn id="2" xr3:uid="{965D58DC-351E-4827-972B-7806B065BAE1}" name="Order_Date" dataDxfId="13" totalsRowDxfId="12"/>
    <tableColumn id="3" xr3:uid="{C89B5FE9-CD11-452F-9B53-83BAE935FC11}" name="Customer_Name"/>
    <tableColumn id="4" xr3:uid="{29AF3838-59ED-42CA-808F-A9D1542ACC3A}" name="Gender"/>
    <tableColumn id="5" xr3:uid="{FB3DEE87-72D5-4192-BD5A-347D6B26DBA4}" name="Age"/>
    <tableColumn id="6" xr3:uid="{99D338A2-DF67-45A2-AC84-9FAC066FDABD}" name="City"/>
    <tableColumn id="7" xr3:uid="{AFD76475-205E-42EF-A15C-C96AEE1F5E87}" name="State"/>
    <tableColumn id="8" xr3:uid="{B284480E-D76F-4D1A-AC69-5B0D22ACF84B}" name="Product_Category"/>
    <tableColumn id="9" xr3:uid="{B2EA7FAA-E3B9-4DBC-89F2-230C6E0895F8}" name="Product_Name"/>
    <tableColumn id="10" xr3:uid="{C2B85EE0-F1A0-4CE1-9C61-2FE57452C39E}" name="Quantity"/>
    <tableColumn id="11" xr3:uid="{B002CADB-1E4B-4BAB-B259-AE93DFF62FFC}" name="Unit_Price"/>
    <tableColumn id="12" xr3:uid="{D6029207-AB2F-45A3-B6D0-A98216CF8B53}" name="Discount" dataDxfId="11" totalsRowDxfId="10"/>
    <tableColumn id="13" xr3:uid="{5772DCDB-75A3-4A7F-B3BB-C7111B1D80FB}" name="Payment_Mode"/>
    <tableColumn id="14" xr3:uid="{64A6304B-9802-418A-9AEB-BC4202C4A516}" name="Sales"/>
    <tableColumn id="15" xr3:uid="{E3EDA49C-3ED4-46B7-85E4-AFDF02E6D287}"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workbookViewId="0">
      <selection activeCell="Q6" sqref="Q6"/>
    </sheetView>
  </sheetViews>
  <sheetFormatPr defaultRowHeight="14.4" x14ac:dyDescent="0.3"/>
  <cols>
    <col min="1" max="1" width="10.44140625" customWidth="1"/>
    <col min="2" max="2" width="12.5546875" customWidth="1"/>
    <col min="3" max="3" width="17" customWidth="1"/>
    <col min="4" max="4" width="9" customWidth="1"/>
    <col min="6" max="6" width="11.109375" customWidth="1"/>
    <col min="7" max="7" width="12.21875" customWidth="1"/>
    <col min="8" max="8" width="18.109375" customWidth="1"/>
    <col min="9" max="9" width="15.5546875" customWidth="1"/>
    <col min="10" max="10" width="10.21875" customWidth="1"/>
    <col min="11" max="11" width="11.5546875" customWidth="1"/>
    <col min="12" max="12" width="10.21875" customWidth="1"/>
    <col min="13" max="13" width="16.44140625" customWidth="1"/>
    <col min="14" max="14" width="11" bestFit="1" customWidth="1"/>
    <col min="17" max="17" width="17.88671875" customWidth="1"/>
    <col min="18" max="18" width="10.441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row>
    <row r="2" spans="1:17" x14ac:dyDescent="0.3">
      <c r="A2">
        <v>1001</v>
      </c>
      <c r="B2" s="1">
        <v>45789</v>
      </c>
      <c r="C2" t="s">
        <v>15</v>
      </c>
      <c r="D2" t="s">
        <v>16</v>
      </c>
      <c r="E2">
        <v>60</v>
      </c>
      <c r="F2" t="s">
        <v>17</v>
      </c>
      <c r="G2" t="s">
        <v>18</v>
      </c>
      <c r="H2" t="s">
        <v>19</v>
      </c>
      <c r="I2" t="s">
        <v>20</v>
      </c>
      <c r="J2">
        <v>3</v>
      </c>
      <c r="K2">
        <v>23799</v>
      </c>
      <c r="L2" s="2">
        <v>0.05</v>
      </c>
      <c r="M2" t="s">
        <v>21</v>
      </c>
      <c r="N2">
        <v>67827.149999999994</v>
      </c>
      <c r="O2">
        <v>12349.88</v>
      </c>
    </row>
    <row r="3" spans="1:17" x14ac:dyDescent="0.3">
      <c r="A3">
        <v>1002</v>
      </c>
      <c r="B3" s="1">
        <v>46011</v>
      </c>
      <c r="C3" t="s">
        <v>22</v>
      </c>
      <c r="D3" t="s">
        <v>16</v>
      </c>
      <c r="E3">
        <v>41</v>
      </c>
      <c r="F3" t="s">
        <v>23</v>
      </c>
      <c r="G3" t="s">
        <v>24</v>
      </c>
      <c r="H3" t="s">
        <v>25</v>
      </c>
      <c r="I3" t="s">
        <v>26</v>
      </c>
      <c r="J3">
        <v>6</v>
      </c>
      <c r="K3">
        <v>11251</v>
      </c>
      <c r="L3" s="2">
        <v>0.15</v>
      </c>
      <c r="M3" t="s">
        <v>27</v>
      </c>
      <c r="N3">
        <v>57380.1</v>
      </c>
      <c r="O3">
        <v>10369.91</v>
      </c>
    </row>
    <row r="4" spans="1:17" x14ac:dyDescent="0.3">
      <c r="A4">
        <v>1003</v>
      </c>
      <c r="B4" s="1">
        <v>45844</v>
      </c>
      <c r="C4" t="s">
        <v>28</v>
      </c>
      <c r="D4" t="s">
        <v>29</v>
      </c>
      <c r="E4">
        <v>19</v>
      </c>
      <c r="F4" t="s">
        <v>23</v>
      </c>
      <c r="G4" t="s">
        <v>24</v>
      </c>
      <c r="H4" t="s">
        <v>25</v>
      </c>
      <c r="I4" t="s">
        <v>30</v>
      </c>
      <c r="J4">
        <v>1</v>
      </c>
      <c r="K4">
        <v>21515</v>
      </c>
      <c r="L4" s="2">
        <v>0.1</v>
      </c>
      <c r="M4" t="s">
        <v>31</v>
      </c>
      <c r="N4">
        <v>19363.5</v>
      </c>
      <c r="O4">
        <v>2696.16</v>
      </c>
    </row>
    <row r="5" spans="1:17" x14ac:dyDescent="0.3">
      <c r="A5">
        <v>1004</v>
      </c>
      <c r="B5" s="1">
        <v>45683</v>
      </c>
      <c r="C5" t="s">
        <v>32</v>
      </c>
      <c r="D5" t="s">
        <v>29</v>
      </c>
      <c r="E5">
        <v>60</v>
      </c>
      <c r="F5" t="s">
        <v>33</v>
      </c>
      <c r="G5" t="s">
        <v>33</v>
      </c>
      <c r="H5" t="s">
        <v>19</v>
      </c>
      <c r="I5" t="s">
        <v>34</v>
      </c>
      <c r="J5">
        <v>3</v>
      </c>
      <c r="K5">
        <v>19298</v>
      </c>
      <c r="L5" s="2">
        <v>0</v>
      </c>
      <c r="M5" t="s">
        <v>27</v>
      </c>
      <c r="N5">
        <v>57894</v>
      </c>
      <c r="O5">
        <v>13711.69</v>
      </c>
    </row>
    <row r="6" spans="1:17" x14ac:dyDescent="0.3">
      <c r="A6">
        <v>1005</v>
      </c>
      <c r="B6" s="1">
        <v>45862</v>
      </c>
      <c r="C6" t="s">
        <v>22</v>
      </c>
      <c r="D6" t="s">
        <v>16</v>
      </c>
      <c r="E6">
        <v>60</v>
      </c>
      <c r="F6" t="s">
        <v>17</v>
      </c>
      <c r="G6" t="s">
        <v>18</v>
      </c>
      <c r="H6" t="s">
        <v>19</v>
      </c>
      <c r="I6" t="s">
        <v>34</v>
      </c>
      <c r="J6">
        <v>5</v>
      </c>
      <c r="K6">
        <v>17950</v>
      </c>
      <c r="L6" s="2">
        <v>0.05</v>
      </c>
      <c r="M6" t="s">
        <v>35</v>
      </c>
      <c r="N6">
        <v>85262.5</v>
      </c>
      <c r="O6">
        <v>4646.29</v>
      </c>
      <c r="Q6" t="s">
        <v>81</v>
      </c>
    </row>
    <row r="7" spans="1:17" x14ac:dyDescent="0.3">
      <c r="A7">
        <v>1006</v>
      </c>
      <c r="B7" s="1">
        <v>45762</v>
      </c>
      <c r="C7" t="s">
        <v>15</v>
      </c>
      <c r="D7" t="s">
        <v>16</v>
      </c>
      <c r="E7">
        <v>29</v>
      </c>
      <c r="F7" t="s">
        <v>17</v>
      </c>
      <c r="G7" t="s">
        <v>18</v>
      </c>
      <c r="H7" t="s">
        <v>36</v>
      </c>
      <c r="I7" t="s">
        <v>37</v>
      </c>
      <c r="J7">
        <v>7</v>
      </c>
      <c r="K7">
        <v>19711</v>
      </c>
      <c r="L7" s="2">
        <v>0.15</v>
      </c>
      <c r="M7" t="s">
        <v>27</v>
      </c>
      <c r="N7">
        <v>117280.45</v>
      </c>
      <c r="O7">
        <v>26376.54</v>
      </c>
    </row>
    <row r="8" spans="1:17" x14ac:dyDescent="0.3">
      <c r="A8">
        <v>1007</v>
      </c>
      <c r="B8" s="1">
        <v>45776</v>
      </c>
      <c r="C8" t="s">
        <v>38</v>
      </c>
      <c r="D8" t="s">
        <v>16</v>
      </c>
      <c r="E8">
        <v>24</v>
      </c>
      <c r="F8" t="s">
        <v>33</v>
      </c>
      <c r="G8" t="s">
        <v>33</v>
      </c>
      <c r="H8" t="s">
        <v>36</v>
      </c>
      <c r="I8" t="s">
        <v>39</v>
      </c>
      <c r="J8">
        <v>5</v>
      </c>
      <c r="K8">
        <v>14404</v>
      </c>
      <c r="L8" s="2">
        <v>0.05</v>
      </c>
      <c r="M8" t="s">
        <v>21</v>
      </c>
      <c r="N8">
        <v>68419</v>
      </c>
      <c r="O8">
        <v>11118.33</v>
      </c>
    </row>
    <row r="9" spans="1:17" x14ac:dyDescent="0.3">
      <c r="A9">
        <v>1008</v>
      </c>
      <c r="B9" s="1">
        <v>45857</v>
      </c>
      <c r="C9" t="s">
        <v>22</v>
      </c>
      <c r="D9" t="s">
        <v>16</v>
      </c>
      <c r="E9">
        <v>37</v>
      </c>
      <c r="F9" t="s">
        <v>23</v>
      </c>
      <c r="G9" t="s">
        <v>24</v>
      </c>
      <c r="H9" t="s">
        <v>36</v>
      </c>
      <c r="I9" t="s">
        <v>40</v>
      </c>
      <c r="J9">
        <v>6</v>
      </c>
      <c r="K9">
        <v>8985</v>
      </c>
      <c r="L9" s="2">
        <v>0.05</v>
      </c>
      <c r="M9" t="s">
        <v>21</v>
      </c>
      <c r="N9">
        <v>51214.5</v>
      </c>
      <c r="O9">
        <v>5910.21</v>
      </c>
    </row>
    <row r="10" spans="1:17" x14ac:dyDescent="0.3">
      <c r="A10">
        <v>1009</v>
      </c>
      <c r="B10" s="1">
        <v>45935</v>
      </c>
      <c r="C10" t="s">
        <v>38</v>
      </c>
      <c r="D10" t="s">
        <v>29</v>
      </c>
      <c r="E10">
        <v>40</v>
      </c>
      <c r="F10" t="s">
        <v>33</v>
      </c>
      <c r="G10" t="s">
        <v>33</v>
      </c>
      <c r="H10" t="s">
        <v>36</v>
      </c>
      <c r="I10" t="s">
        <v>40</v>
      </c>
      <c r="J10">
        <v>1</v>
      </c>
      <c r="K10">
        <v>26543</v>
      </c>
      <c r="L10" s="2">
        <v>0</v>
      </c>
      <c r="M10" t="s">
        <v>31</v>
      </c>
      <c r="N10">
        <v>26543</v>
      </c>
      <c r="O10">
        <v>2539.61</v>
      </c>
    </row>
    <row r="11" spans="1:17" x14ac:dyDescent="0.3">
      <c r="A11">
        <v>1010</v>
      </c>
      <c r="B11" s="1">
        <v>45716</v>
      </c>
      <c r="C11" t="s">
        <v>41</v>
      </c>
      <c r="D11" t="s">
        <v>16</v>
      </c>
      <c r="E11">
        <v>56</v>
      </c>
      <c r="F11" t="s">
        <v>17</v>
      </c>
      <c r="G11" t="s">
        <v>18</v>
      </c>
      <c r="H11" t="s">
        <v>36</v>
      </c>
      <c r="I11" t="s">
        <v>39</v>
      </c>
      <c r="J11">
        <v>2</v>
      </c>
      <c r="K11">
        <v>44514</v>
      </c>
      <c r="L11" s="2">
        <v>0.15</v>
      </c>
      <c r="M11" t="s">
        <v>21</v>
      </c>
      <c r="N11">
        <v>75673.8</v>
      </c>
      <c r="O11">
        <v>12284.25</v>
      </c>
    </row>
    <row r="12" spans="1:17" x14ac:dyDescent="0.3">
      <c r="A12">
        <v>1011</v>
      </c>
      <c r="B12" s="1">
        <v>45827</v>
      </c>
      <c r="C12" t="s">
        <v>42</v>
      </c>
      <c r="D12" t="s">
        <v>16</v>
      </c>
      <c r="E12">
        <v>58</v>
      </c>
      <c r="F12" t="s">
        <v>23</v>
      </c>
      <c r="G12" t="s">
        <v>24</v>
      </c>
      <c r="H12" t="s">
        <v>43</v>
      </c>
      <c r="I12" t="s">
        <v>44</v>
      </c>
      <c r="J12">
        <v>4</v>
      </c>
      <c r="K12">
        <v>44906</v>
      </c>
      <c r="L12" s="2">
        <v>0</v>
      </c>
      <c r="M12" t="s">
        <v>21</v>
      </c>
      <c r="N12">
        <v>179624</v>
      </c>
      <c r="O12">
        <v>39452.82</v>
      </c>
    </row>
    <row r="13" spans="1:17" x14ac:dyDescent="0.3">
      <c r="A13">
        <v>1012</v>
      </c>
      <c r="B13" s="1">
        <v>46015</v>
      </c>
      <c r="C13" t="s">
        <v>28</v>
      </c>
      <c r="D13" t="s">
        <v>29</v>
      </c>
      <c r="E13">
        <v>47</v>
      </c>
      <c r="F13" t="s">
        <v>17</v>
      </c>
      <c r="G13" t="s">
        <v>18</v>
      </c>
      <c r="H13" t="s">
        <v>19</v>
      </c>
      <c r="I13" t="s">
        <v>45</v>
      </c>
      <c r="J13">
        <v>5</v>
      </c>
      <c r="K13">
        <v>4083</v>
      </c>
      <c r="L13" s="2">
        <v>0.05</v>
      </c>
      <c r="M13" t="s">
        <v>27</v>
      </c>
      <c r="N13">
        <v>19394.25</v>
      </c>
      <c r="O13">
        <v>1707.7</v>
      </c>
    </row>
    <row r="14" spans="1:17" x14ac:dyDescent="0.3">
      <c r="A14">
        <v>1013</v>
      </c>
      <c r="B14" s="1">
        <v>45792</v>
      </c>
      <c r="C14" t="s">
        <v>41</v>
      </c>
      <c r="D14" t="s">
        <v>16</v>
      </c>
      <c r="E14">
        <v>29</v>
      </c>
      <c r="F14" t="s">
        <v>46</v>
      </c>
      <c r="G14" t="s">
        <v>47</v>
      </c>
      <c r="H14" t="s">
        <v>36</v>
      </c>
      <c r="I14" t="s">
        <v>37</v>
      </c>
      <c r="J14">
        <v>8</v>
      </c>
      <c r="K14">
        <v>7753</v>
      </c>
      <c r="L14" s="2">
        <v>0</v>
      </c>
      <c r="M14" t="s">
        <v>31</v>
      </c>
      <c r="N14">
        <v>62024</v>
      </c>
      <c r="O14">
        <v>12357.88</v>
      </c>
    </row>
    <row r="15" spans="1:17" x14ac:dyDescent="0.3">
      <c r="A15">
        <v>1014</v>
      </c>
      <c r="B15" s="1">
        <v>45914</v>
      </c>
      <c r="C15" t="s">
        <v>32</v>
      </c>
      <c r="D15" t="s">
        <v>29</v>
      </c>
      <c r="E15">
        <v>25</v>
      </c>
      <c r="F15" t="s">
        <v>48</v>
      </c>
      <c r="G15" t="s">
        <v>49</v>
      </c>
      <c r="H15" t="s">
        <v>25</v>
      </c>
      <c r="I15" t="s">
        <v>26</v>
      </c>
      <c r="J15">
        <v>6</v>
      </c>
      <c r="K15">
        <v>46853</v>
      </c>
      <c r="L15" s="2">
        <v>0.1</v>
      </c>
      <c r="M15" t="s">
        <v>31</v>
      </c>
      <c r="N15">
        <v>253006.2</v>
      </c>
      <c r="O15">
        <v>25188.19</v>
      </c>
    </row>
    <row r="16" spans="1:17" x14ac:dyDescent="0.3">
      <c r="A16">
        <v>1015</v>
      </c>
      <c r="B16" s="1">
        <v>45661</v>
      </c>
      <c r="C16" t="s">
        <v>22</v>
      </c>
      <c r="D16" t="s">
        <v>29</v>
      </c>
      <c r="E16">
        <v>54</v>
      </c>
      <c r="F16" t="s">
        <v>46</v>
      </c>
      <c r="G16" t="s">
        <v>47</v>
      </c>
      <c r="H16" t="s">
        <v>36</v>
      </c>
      <c r="I16" t="s">
        <v>40</v>
      </c>
      <c r="J16">
        <v>4</v>
      </c>
      <c r="K16">
        <v>26130</v>
      </c>
      <c r="L16" s="2">
        <v>0.15</v>
      </c>
      <c r="M16" t="s">
        <v>31</v>
      </c>
      <c r="N16">
        <v>88842</v>
      </c>
      <c r="O16">
        <v>14144.16</v>
      </c>
    </row>
    <row r="17" spans="1:15" x14ac:dyDescent="0.3">
      <c r="A17">
        <v>1016</v>
      </c>
      <c r="B17" s="1">
        <v>45815</v>
      </c>
      <c r="C17" t="s">
        <v>41</v>
      </c>
      <c r="D17" t="s">
        <v>29</v>
      </c>
      <c r="E17">
        <v>48</v>
      </c>
      <c r="F17" t="s">
        <v>48</v>
      </c>
      <c r="G17" t="s">
        <v>49</v>
      </c>
      <c r="H17" t="s">
        <v>19</v>
      </c>
      <c r="I17" t="s">
        <v>45</v>
      </c>
      <c r="J17">
        <v>5</v>
      </c>
      <c r="K17">
        <v>18812</v>
      </c>
      <c r="L17" s="2">
        <v>0</v>
      </c>
      <c r="M17" t="s">
        <v>21</v>
      </c>
      <c r="N17">
        <v>94060</v>
      </c>
      <c r="O17">
        <v>15129.34</v>
      </c>
    </row>
    <row r="18" spans="1:15" x14ac:dyDescent="0.3">
      <c r="A18">
        <v>1017</v>
      </c>
      <c r="B18" s="1">
        <v>45917</v>
      </c>
      <c r="C18" t="s">
        <v>50</v>
      </c>
      <c r="D18" t="s">
        <v>29</v>
      </c>
      <c r="E18">
        <v>22</v>
      </c>
      <c r="F18" t="s">
        <v>46</v>
      </c>
      <c r="G18" t="s">
        <v>47</v>
      </c>
      <c r="H18" t="s">
        <v>36</v>
      </c>
      <c r="I18" t="s">
        <v>37</v>
      </c>
      <c r="J18">
        <v>8</v>
      </c>
      <c r="K18">
        <v>26955</v>
      </c>
      <c r="L18" s="2">
        <v>0.1</v>
      </c>
      <c r="M18" t="s">
        <v>21</v>
      </c>
      <c r="N18">
        <v>194076</v>
      </c>
      <c r="O18">
        <v>41812.730000000003</v>
      </c>
    </row>
    <row r="19" spans="1:15" x14ac:dyDescent="0.3">
      <c r="A19">
        <v>1018</v>
      </c>
      <c r="B19" s="1">
        <v>45689</v>
      </c>
      <c r="C19" t="s">
        <v>32</v>
      </c>
      <c r="D19" t="s">
        <v>29</v>
      </c>
      <c r="E19">
        <v>25</v>
      </c>
      <c r="F19" t="s">
        <v>46</v>
      </c>
      <c r="G19" t="s">
        <v>47</v>
      </c>
      <c r="H19" t="s">
        <v>43</v>
      </c>
      <c r="I19" t="s">
        <v>51</v>
      </c>
      <c r="J19">
        <v>1</v>
      </c>
      <c r="K19">
        <v>49514</v>
      </c>
      <c r="L19" s="2">
        <v>0.05</v>
      </c>
      <c r="M19" t="s">
        <v>21</v>
      </c>
      <c r="N19">
        <v>47038.3</v>
      </c>
      <c r="O19">
        <v>5829.6</v>
      </c>
    </row>
    <row r="20" spans="1:15" x14ac:dyDescent="0.3">
      <c r="A20">
        <v>1019</v>
      </c>
      <c r="B20" s="1">
        <v>45761</v>
      </c>
      <c r="C20" t="s">
        <v>42</v>
      </c>
      <c r="D20" t="s">
        <v>16</v>
      </c>
      <c r="E20">
        <v>26</v>
      </c>
      <c r="F20" t="s">
        <v>23</v>
      </c>
      <c r="G20" t="s">
        <v>24</v>
      </c>
      <c r="H20" t="s">
        <v>25</v>
      </c>
      <c r="I20" t="s">
        <v>26</v>
      </c>
      <c r="J20">
        <v>5</v>
      </c>
      <c r="K20">
        <v>35306</v>
      </c>
      <c r="L20" s="2">
        <v>0.1</v>
      </c>
      <c r="M20" t="s">
        <v>31</v>
      </c>
      <c r="N20">
        <v>158877</v>
      </c>
      <c r="O20">
        <v>21693.59</v>
      </c>
    </row>
    <row r="21" spans="1:15" x14ac:dyDescent="0.3">
      <c r="A21">
        <v>1020</v>
      </c>
      <c r="B21" s="1">
        <v>45918</v>
      </c>
      <c r="C21" t="s">
        <v>52</v>
      </c>
      <c r="D21" t="s">
        <v>29</v>
      </c>
      <c r="E21">
        <v>37</v>
      </c>
      <c r="F21" t="s">
        <v>46</v>
      </c>
      <c r="G21" t="s">
        <v>47</v>
      </c>
      <c r="H21" t="s">
        <v>36</v>
      </c>
      <c r="I21" t="s">
        <v>37</v>
      </c>
      <c r="J21">
        <v>1</v>
      </c>
      <c r="K21">
        <v>11262</v>
      </c>
      <c r="L21" s="2">
        <v>0.15</v>
      </c>
      <c r="M21" t="s">
        <v>31</v>
      </c>
      <c r="N21">
        <v>9572.7000000000007</v>
      </c>
      <c r="O21">
        <v>2137.62</v>
      </c>
    </row>
    <row r="22" spans="1:15" x14ac:dyDescent="0.3">
      <c r="A22">
        <v>1021</v>
      </c>
      <c r="B22" s="1">
        <v>45741</v>
      </c>
      <c r="C22" t="s">
        <v>32</v>
      </c>
      <c r="D22" t="s">
        <v>16</v>
      </c>
      <c r="E22">
        <v>27</v>
      </c>
      <c r="F22" t="s">
        <v>48</v>
      </c>
      <c r="G22" t="s">
        <v>49</v>
      </c>
      <c r="H22" t="s">
        <v>43</v>
      </c>
      <c r="I22" t="s">
        <v>44</v>
      </c>
      <c r="J22">
        <v>6</v>
      </c>
      <c r="K22">
        <v>31467</v>
      </c>
      <c r="L22" s="2">
        <v>0.1</v>
      </c>
      <c r="M22" t="s">
        <v>35</v>
      </c>
      <c r="N22">
        <v>169921.8</v>
      </c>
      <c r="O22">
        <v>12730</v>
      </c>
    </row>
    <row r="23" spans="1:15" x14ac:dyDescent="0.3">
      <c r="A23">
        <v>1022</v>
      </c>
      <c r="B23" s="1">
        <v>46005</v>
      </c>
      <c r="C23" t="s">
        <v>15</v>
      </c>
      <c r="D23" t="s">
        <v>29</v>
      </c>
      <c r="E23">
        <v>47</v>
      </c>
      <c r="F23" t="s">
        <v>17</v>
      </c>
      <c r="G23" t="s">
        <v>18</v>
      </c>
      <c r="H23" t="s">
        <v>19</v>
      </c>
      <c r="I23" t="s">
        <v>53</v>
      </c>
      <c r="J23">
        <v>4</v>
      </c>
      <c r="K23">
        <v>1589</v>
      </c>
      <c r="L23" s="2">
        <v>0</v>
      </c>
      <c r="M23" t="s">
        <v>21</v>
      </c>
      <c r="N23">
        <v>6356</v>
      </c>
      <c r="O23">
        <v>744.71</v>
      </c>
    </row>
    <row r="24" spans="1:15" x14ac:dyDescent="0.3">
      <c r="A24">
        <v>1023</v>
      </c>
      <c r="B24" s="1">
        <v>45887</v>
      </c>
      <c r="C24" t="s">
        <v>50</v>
      </c>
      <c r="D24" t="s">
        <v>29</v>
      </c>
      <c r="E24">
        <v>43</v>
      </c>
      <c r="F24" t="s">
        <v>17</v>
      </c>
      <c r="G24" t="s">
        <v>18</v>
      </c>
      <c r="H24" t="s">
        <v>19</v>
      </c>
      <c r="I24" t="s">
        <v>20</v>
      </c>
      <c r="J24">
        <v>6</v>
      </c>
      <c r="K24">
        <v>16984</v>
      </c>
      <c r="L24" s="2">
        <v>0.05</v>
      </c>
      <c r="M24" t="s">
        <v>31</v>
      </c>
      <c r="N24">
        <v>96808.8</v>
      </c>
      <c r="O24">
        <v>5607.78</v>
      </c>
    </row>
    <row r="25" spans="1:15" x14ac:dyDescent="0.3">
      <c r="A25">
        <v>1024</v>
      </c>
      <c r="B25" s="1">
        <v>45927</v>
      </c>
      <c r="C25" t="s">
        <v>32</v>
      </c>
      <c r="D25" t="s">
        <v>16</v>
      </c>
      <c r="E25">
        <v>50</v>
      </c>
      <c r="F25" t="s">
        <v>33</v>
      </c>
      <c r="G25" t="s">
        <v>33</v>
      </c>
      <c r="H25" t="s">
        <v>19</v>
      </c>
      <c r="I25" t="s">
        <v>45</v>
      </c>
      <c r="J25">
        <v>7</v>
      </c>
      <c r="K25">
        <v>13460</v>
      </c>
      <c r="L25" s="2">
        <v>0.1</v>
      </c>
      <c r="M25" t="s">
        <v>27</v>
      </c>
      <c r="N25">
        <v>84798</v>
      </c>
      <c r="O25">
        <v>19753.02</v>
      </c>
    </row>
    <row r="26" spans="1:15" x14ac:dyDescent="0.3">
      <c r="A26">
        <v>1025</v>
      </c>
      <c r="B26" s="1">
        <v>45976</v>
      </c>
      <c r="C26" t="s">
        <v>22</v>
      </c>
      <c r="D26" t="s">
        <v>29</v>
      </c>
      <c r="E26">
        <v>53</v>
      </c>
      <c r="F26" t="s">
        <v>46</v>
      </c>
      <c r="G26" t="s">
        <v>47</v>
      </c>
      <c r="H26" t="s">
        <v>25</v>
      </c>
      <c r="I26" t="s">
        <v>54</v>
      </c>
      <c r="J26">
        <v>8</v>
      </c>
      <c r="K26">
        <v>3184</v>
      </c>
      <c r="L26" s="2">
        <v>0</v>
      </c>
      <c r="M26" t="s">
        <v>35</v>
      </c>
      <c r="N26">
        <v>25472</v>
      </c>
      <c r="O26">
        <v>2324.27</v>
      </c>
    </row>
    <row r="27" spans="1:15" x14ac:dyDescent="0.3">
      <c r="A27">
        <v>1026</v>
      </c>
      <c r="B27" s="1">
        <v>45791</v>
      </c>
      <c r="C27" t="s">
        <v>41</v>
      </c>
      <c r="D27" t="s">
        <v>16</v>
      </c>
      <c r="E27">
        <v>34</v>
      </c>
      <c r="F27" t="s">
        <v>23</v>
      </c>
      <c r="G27" t="s">
        <v>24</v>
      </c>
      <c r="H27" t="s">
        <v>19</v>
      </c>
      <c r="I27" t="s">
        <v>34</v>
      </c>
      <c r="J27">
        <v>5</v>
      </c>
      <c r="K27">
        <v>13669</v>
      </c>
      <c r="L27" s="2">
        <v>0.05</v>
      </c>
      <c r="M27" t="s">
        <v>21</v>
      </c>
      <c r="N27">
        <v>64927.75</v>
      </c>
      <c r="O27">
        <v>4244.5</v>
      </c>
    </row>
    <row r="28" spans="1:15" x14ac:dyDescent="0.3">
      <c r="A28">
        <v>1027</v>
      </c>
      <c r="B28" s="1">
        <v>45938</v>
      </c>
      <c r="C28" t="s">
        <v>41</v>
      </c>
      <c r="D28" t="s">
        <v>29</v>
      </c>
      <c r="E28">
        <v>39</v>
      </c>
      <c r="F28" t="s">
        <v>17</v>
      </c>
      <c r="G28" t="s">
        <v>18</v>
      </c>
      <c r="H28" t="s">
        <v>43</v>
      </c>
      <c r="I28" t="s">
        <v>55</v>
      </c>
      <c r="J28">
        <v>1</v>
      </c>
      <c r="K28">
        <v>6462</v>
      </c>
      <c r="L28" s="2">
        <v>0.05</v>
      </c>
      <c r="M28" t="s">
        <v>27</v>
      </c>
      <c r="N28">
        <v>6138.9</v>
      </c>
      <c r="O28">
        <v>1450.04</v>
      </c>
    </row>
    <row r="29" spans="1:15" x14ac:dyDescent="0.3">
      <c r="A29">
        <v>1028</v>
      </c>
      <c r="B29" s="1">
        <v>45715</v>
      </c>
      <c r="C29" t="s">
        <v>41</v>
      </c>
      <c r="D29" t="s">
        <v>16</v>
      </c>
      <c r="E29">
        <v>34</v>
      </c>
      <c r="F29" t="s">
        <v>23</v>
      </c>
      <c r="G29" t="s">
        <v>24</v>
      </c>
      <c r="H29" t="s">
        <v>25</v>
      </c>
      <c r="I29" t="s">
        <v>30</v>
      </c>
      <c r="J29">
        <v>3</v>
      </c>
      <c r="K29">
        <v>30422</v>
      </c>
      <c r="L29" s="2">
        <v>0</v>
      </c>
      <c r="M29" t="s">
        <v>27</v>
      </c>
      <c r="N29">
        <v>91266</v>
      </c>
      <c r="O29">
        <v>17198.54</v>
      </c>
    </row>
    <row r="30" spans="1:15" x14ac:dyDescent="0.3">
      <c r="A30">
        <v>1029</v>
      </c>
      <c r="B30" s="1">
        <v>45989</v>
      </c>
      <c r="C30" t="s">
        <v>42</v>
      </c>
      <c r="D30" t="s">
        <v>16</v>
      </c>
      <c r="E30">
        <v>21</v>
      </c>
      <c r="F30" t="s">
        <v>46</v>
      </c>
      <c r="G30" t="s">
        <v>47</v>
      </c>
      <c r="H30" t="s">
        <v>43</v>
      </c>
      <c r="I30" t="s">
        <v>56</v>
      </c>
      <c r="J30">
        <v>5</v>
      </c>
      <c r="K30">
        <v>15417</v>
      </c>
      <c r="L30" s="2">
        <v>0.15</v>
      </c>
      <c r="M30" t="s">
        <v>31</v>
      </c>
      <c r="N30">
        <v>65522.25</v>
      </c>
      <c r="O30">
        <v>8106.02</v>
      </c>
    </row>
    <row r="31" spans="1:15" x14ac:dyDescent="0.3">
      <c r="A31">
        <v>1030</v>
      </c>
      <c r="B31" s="1">
        <v>45715</v>
      </c>
      <c r="C31" t="s">
        <v>38</v>
      </c>
      <c r="D31" t="s">
        <v>29</v>
      </c>
      <c r="E31">
        <v>20</v>
      </c>
      <c r="F31" t="s">
        <v>33</v>
      </c>
      <c r="G31" t="s">
        <v>33</v>
      </c>
      <c r="H31" t="s">
        <v>36</v>
      </c>
      <c r="I31" t="s">
        <v>37</v>
      </c>
      <c r="J31">
        <v>4</v>
      </c>
      <c r="K31">
        <v>29408</v>
      </c>
      <c r="L31" s="2">
        <v>0.15</v>
      </c>
      <c r="M31" t="s">
        <v>35</v>
      </c>
      <c r="N31">
        <v>99987.199999999997</v>
      </c>
      <c r="O31">
        <v>22743.82</v>
      </c>
    </row>
    <row r="32" spans="1:15" x14ac:dyDescent="0.3">
      <c r="A32">
        <v>1031</v>
      </c>
      <c r="B32" s="1">
        <v>45948</v>
      </c>
      <c r="C32" t="s">
        <v>15</v>
      </c>
      <c r="D32" t="s">
        <v>29</v>
      </c>
      <c r="E32">
        <v>34</v>
      </c>
      <c r="F32" t="s">
        <v>48</v>
      </c>
      <c r="G32" t="s">
        <v>49</v>
      </c>
      <c r="H32" t="s">
        <v>36</v>
      </c>
      <c r="I32" t="s">
        <v>57</v>
      </c>
      <c r="J32">
        <v>4</v>
      </c>
      <c r="K32">
        <v>33718</v>
      </c>
      <c r="L32" s="2">
        <v>0.15</v>
      </c>
      <c r="M32" t="s">
        <v>35</v>
      </c>
      <c r="N32">
        <v>114641.2</v>
      </c>
      <c r="O32">
        <v>28134.49</v>
      </c>
    </row>
    <row r="33" spans="1:15" x14ac:dyDescent="0.3">
      <c r="A33">
        <v>1032</v>
      </c>
      <c r="B33" s="1">
        <v>45882</v>
      </c>
      <c r="C33" t="s">
        <v>32</v>
      </c>
      <c r="D33" t="s">
        <v>29</v>
      </c>
      <c r="E33">
        <v>56</v>
      </c>
      <c r="F33" t="s">
        <v>33</v>
      </c>
      <c r="G33" t="s">
        <v>33</v>
      </c>
      <c r="H33" t="s">
        <v>36</v>
      </c>
      <c r="I33" t="s">
        <v>37</v>
      </c>
      <c r="J33">
        <v>6</v>
      </c>
      <c r="K33">
        <v>28453</v>
      </c>
      <c r="L33" s="2">
        <v>0.15</v>
      </c>
      <c r="M33" t="s">
        <v>27</v>
      </c>
      <c r="N33">
        <v>145110.29999999999</v>
      </c>
      <c r="O33">
        <v>12391.31</v>
      </c>
    </row>
    <row r="34" spans="1:15" x14ac:dyDescent="0.3">
      <c r="A34">
        <v>1033</v>
      </c>
      <c r="B34" s="1">
        <v>46018</v>
      </c>
      <c r="C34" t="s">
        <v>15</v>
      </c>
      <c r="D34" t="s">
        <v>29</v>
      </c>
      <c r="E34">
        <v>42</v>
      </c>
      <c r="F34" t="s">
        <v>33</v>
      </c>
      <c r="G34" t="s">
        <v>33</v>
      </c>
      <c r="H34" t="s">
        <v>19</v>
      </c>
      <c r="I34" t="s">
        <v>45</v>
      </c>
      <c r="J34">
        <v>3</v>
      </c>
      <c r="K34">
        <v>35526</v>
      </c>
      <c r="L34" s="2">
        <v>0</v>
      </c>
      <c r="M34" t="s">
        <v>21</v>
      </c>
      <c r="N34">
        <v>106578</v>
      </c>
      <c r="O34">
        <v>8564.39</v>
      </c>
    </row>
    <row r="35" spans="1:15" x14ac:dyDescent="0.3">
      <c r="A35">
        <v>1034</v>
      </c>
      <c r="B35" s="1">
        <v>45697</v>
      </c>
      <c r="C35" t="s">
        <v>50</v>
      </c>
      <c r="D35" t="s">
        <v>29</v>
      </c>
      <c r="E35">
        <v>36</v>
      </c>
      <c r="F35" t="s">
        <v>33</v>
      </c>
      <c r="G35" t="s">
        <v>33</v>
      </c>
      <c r="H35" t="s">
        <v>19</v>
      </c>
      <c r="I35" t="s">
        <v>45</v>
      </c>
      <c r="J35">
        <v>1</v>
      </c>
      <c r="K35">
        <v>39276</v>
      </c>
      <c r="L35" s="2">
        <v>0.15</v>
      </c>
      <c r="M35" t="s">
        <v>35</v>
      </c>
      <c r="N35">
        <v>33384.6</v>
      </c>
      <c r="O35">
        <v>5955.46</v>
      </c>
    </row>
    <row r="36" spans="1:15" x14ac:dyDescent="0.3">
      <c r="A36">
        <v>1035</v>
      </c>
      <c r="B36" s="1">
        <v>45812</v>
      </c>
      <c r="C36" t="s">
        <v>22</v>
      </c>
      <c r="D36" t="s">
        <v>16</v>
      </c>
      <c r="E36">
        <v>45</v>
      </c>
      <c r="F36" t="s">
        <v>33</v>
      </c>
      <c r="G36" t="s">
        <v>33</v>
      </c>
      <c r="H36" t="s">
        <v>19</v>
      </c>
      <c r="I36" t="s">
        <v>53</v>
      </c>
      <c r="J36">
        <v>1</v>
      </c>
      <c r="K36">
        <v>44748</v>
      </c>
      <c r="L36" s="2">
        <v>0.1</v>
      </c>
      <c r="M36" t="s">
        <v>35</v>
      </c>
      <c r="N36">
        <v>40273.199999999997</v>
      </c>
      <c r="O36">
        <v>8935.52</v>
      </c>
    </row>
    <row r="37" spans="1:15" x14ac:dyDescent="0.3">
      <c r="A37">
        <v>1036</v>
      </c>
      <c r="B37" s="1">
        <v>46008</v>
      </c>
      <c r="C37" t="s">
        <v>15</v>
      </c>
      <c r="D37" t="s">
        <v>29</v>
      </c>
      <c r="E37">
        <v>29</v>
      </c>
      <c r="F37" t="s">
        <v>46</v>
      </c>
      <c r="G37" t="s">
        <v>47</v>
      </c>
      <c r="H37" t="s">
        <v>43</v>
      </c>
      <c r="I37" t="s">
        <v>56</v>
      </c>
      <c r="J37">
        <v>1</v>
      </c>
      <c r="K37">
        <v>48840</v>
      </c>
      <c r="L37" s="2">
        <v>0.05</v>
      </c>
      <c r="M37" t="s">
        <v>31</v>
      </c>
      <c r="N37">
        <v>46398</v>
      </c>
      <c r="O37">
        <v>9766.52</v>
      </c>
    </row>
    <row r="38" spans="1:15" x14ac:dyDescent="0.3">
      <c r="A38">
        <v>1037</v>
      </c>
      <c r="B38" s="1">
        <v>45707</v>
      </c>
      <c r="C38" t="s">
        <v>58</v>
      </c>
      <c r="D38" t="s">
        <v>29</v>
      </c>
      <c r="E38">
        <v>40</v>
      </c>
      <c r="F38" t="s">
        <v>23</v>
      </c>
      <c r="G38" t="s">
        <v>24</v>
      </c>
      <c r="H38" t="s">
        <v>43</v>
      </c>
      <c r="I38" t="s">
        <v>55</v>
      </c>
      <c r="J38">
        <v>2</v>
      </c>
      <c r="K38">
        <v>3409</v>
      </c>
      <c r="L38" s="2">
        <v>0.15</v>
      </c>
      <c r="M38" t="s">
        <v>31</v>
      </c>
      <c r="N38">
        <v>5795.3</v>
      </c>
      <c r="O38">
        <v>1369.91</v>
      </c>
    </row>
    <row r="39" spans="1:15" x14ac:dyDescent="0.3">
      <c r="A39">
        <v>1038</v>
      </c>
      <c r="B39" s="1">
        <v>46016</v>
      </c>
      <c r="C39" t="s">
        <v>58</v>
      </c>
      <c r="D39" t="s">
        <v>29</v>
      </c>
      <c r="E39">
        <v>34</v>
      </c>
      <c r="F39" t="s">
        <v>23</v>
      </c>
      <c r="G39" t="s">
        <v>24</v>
      </c>
      <c r="H39" t="s">
        <v>25</v>
      </c>
      <c r="I39" t="s">
        <v>59</v>
      </c>
      <c r="J39">
        <v>7</v>
      </c>
      <c r="K39">
        <v>37297</v>
      </c>
      <c r="L39" s="2">
        <v>0.15</v>
      </c>
      <c r="M39" t="s">
        <v>21</v>
      </c>
      <c r="N39">
        <v>221917.15</v>
      </c>
      <c r="O39">
        <v>19403.39</v>
      </c>
    </row>
    <row r="40" spans="1:15" x14ac:dyDescent="0.3">
      <c r="A40">
        <v>1039</v>
      </c>
      <c r="B40" s="1">
        <v>45685</v>
      </c>
      <c r="C40" t="s">
        <v>42</v>
      </c>
      <c r="D40" t="s">
        <v>16</v>
      </c>
      <c r="E40">
        <v>56</v>
      </c>
      <c r="F40" t="s">
        <v>48</v>
      </c>
      <c r="G40" t="s">
        <v>49</v>
      </c>
      <c r="H40" t="s">
        <v>19</v>
      </c>
      <c r="I40" t="s">
        <v>53</v>
      </c>
      <c r="J40">
        <v>5</v>
      </c>
      <c r="K40">
        <v>25131</v>
      </c>
      <c r="L40" s="2">
        <v>0.15</v>
      </c>
      <c r="M40" t="s">
        <v>21</v>
      </c>
      <c r="N40">
        <v>106806.75</v>
      </c>
      <c r="O40">
        <v>24628.82</v>
      </c>
    </row>
    <row r="41" spans="1:15" x14ac:dyDescent="0.3">
      <c r="A41">
        <v>1040</v>
      </c>
      <c r="B41" s="1">
        <v>45996</v>
      </c>
      <c r="C41" t="s">
        <v>28</v>
      </c>
      <c r="D41" t="s">
        <v>29</v>
      </c>
      <c r="E41">
        <v>30</v>
      </c>
      <c r="F41" t="s">
        <v>33</v>
      </c>
      <c r="G41" t="s">
        <v>33</v>
      </c>
      <c r="H41" t="s">
        <v>19</v>
      </c>
      <c r="I41" t="s">
        <v>53</v>
      </c>
      <c r="J41">
        <v>6</v>
      </c>
      <c r="K41">
        <v>40438</v>
      </c>
      <c r="L41" s="2">
        <v>0.15</v>
      </c>
      <c r="M41" t="s">
        <v>21</v>
      </c>
      <c r="N41">
        <v>206233.8</v>
      </c>
      <c r="O41">
        <v>17146.09</v>
      </c>
    </row>
    <row r="42" spans="1:15" x14ac:dyDescent="0.3">
      <c r="A42">
        <v>1041</v>
      </c>
      <c r="B42" s="1">
        <v>45708</v>
      </c>
      <c r="C42" t="s">
        <v>50</v>
      </c>
      <c r="D42" t="s">
        <v>29</v>
      </c>
      <c r="E42">
        <v>19</v>
      </c>
      <c r="F42" t="s">
        <v>48</v>
      </c>
      <c r="G42" t="s">
        <v>49</v>
      </c>
      <c r="H42" t="s">
        <v>25</v>
      </c>
      <c r="I42" t="s">
        <v>26</v>
      </c>
      <c r="J42">
        <v>2</v>
      </c>
      <c r="K42">
        <v>41084</v>
      </c>
      <c r="L42" s="2">
        <v>0.1</v>
      </c>
      <c r="M42" t="s">
        <v>21</v>
      </c>
      <c r="N42">
        <v>73951.199999999997</v>
      </c>
      <c r="O42">
        <v>10915.8</v>
      </c>
    </row>
    <row r="43" spans="1:15" x14ac:dyDescent="0.3">
      <c r="A43">
        <v>1042</v>
      </c>
      <c r="B43" s="1">
        <v>45894</v>
      </c>
      <c r="C43" t="s">
        <v>41</v>
      </c>
      <c r="D43" t="s">
        <v>16</v>
      </c>
      <c r="E43">
        <v>50</v>
      </c>
      <c r="F43" t="s">
        <v>48</v>
      </c>
      <c r="G43" t="s">
        <v>49</v>
      </c>
      <c r="H43" t="s">
        <v>25</v>
      </c>
      <c r="I43" t="s">
        <v>26</v>
      </c>
      <c r="J43">
        <v>1</v>
      </c>
      <c r="K43">
        <v>8503</v>
      </c>
      <c r="L43" s="2">
        <v>0.05</v>
      </c>
      <c r="M43" t="s">
        <v>27</v>
      </c>
      <c r="N43">
        <v>8077.85</v>
      </c>
      <c r="O43">
        <v>1652.82</v>
      </c>
    </row>
    <row r="44" spans="1:15" x14ac:dyDescent="0.3">
      <c r="A44">
        <v>1043</v>
      </c>
      <c r="B44" s="1">
        <v>45961</v>
      </c>
      <c r="C44" t="s">
        <v>50</v>
      </c>
      <c r="D44" t="s">
        <v>29</v>
      </c>
      <c r="E44">
        <v>21</v>
      </c>
      <c r="F44" t="s">
        <v>17</v>
      </c>
      <c r="G44" t="s">
        <v>18</v>
      </c>
      <c r="H44" t="s">
        <v>36</v>
      </c>
      <c r="I44" t="s">
        <v>37</v>
      </c>
      <c r="J44">
        <v>6</v>
      </c>
      <c r="K44">
        <v>38001</v>
      </c>
      <c r="L44" s="2">
        <v>0.15</v>
      </c>
      <c r="M44" t="s">
        <v>27</v>
      </c>
      <c r="N44">
        <v>193805.1</v>
      </c>
      <c r="O44">
        <v>43753.25</v>
      </c>
    </row>
    <row r="45" spans="1:15" x14ac:dyDescent="0.3">
      <c r="A45">
        <v>1044</v>
      </c>
      <c r="B45" s="1">
        <v>45718</v>
      </c>
      <c r="C45" t="s">
        <v>22</v>
      </c>
      <c r="D45" t="s">
        <v>29</v>
      </c>
      <c r="E45">
        <v>45</v>
      </c>
      <c r="F45" t="s">
        <v>46</v>
      </c>
      <c r="G45" t="s">
        <v>47</v>
      </c>
      <c r="H45" t="s">
        <v>19</v>
      </c>
      <c r="I45" t="s">
        <v>20</v>
      </c>
      <c r="J45">
        <v>2</v>
      </c>
      <c r="K45">
        <v>17525</v>
      </c>
      <c r="L45" s="2">
        <v>0.1</v>
      </c>
      <c r="M45" t="s">
        <v>35</v>
      </c>
      <c r="N45">
        <v>31545</v>
      </c>
      <c r="O45">
        <v>4241.68</v>
      </c>
    </row>
    <row r="46" spans="1:15" x14ac:dyDescent="0.3">
      <c r="A46">
        <v>1045</v>
      </c>
      <c r="B46" s="1">
        <v>45974</v>
      </c>
      <c r="C46" t="s">
        <v>28</v>
      </c>
      <c r="D46" t="s">
        <v>29</v>
      </c>
      <c r="E46">
        <v>37</v>
      </c>
      <c r="F46" t="s">
        <v>46</v>
      </c>
      <c r="G46" t="s">
        <v>47</v>
      </c>
      <c r="H46" t="s">
        <v>43</v>
      </c>
      <c r="I46" t="s">
        <v>44</v>
      </c>
      <c r="J46">
        <v>4</v>
      </c>
      <c r="K46">
        <v>18243</v>
      </c>
      <c r="L46" s="2">
        <v>0.1</v>
      </c>
      <c r="M46" t="s">
        <v>21</v>
      </c>
      <c r="N46">
        <v>65674.8</v>
      </c>
      <c r="O46">
        <v>6237.18</v>
      </c>
    </row>
    <row r="47" spans="1:15" x14ac:dyDescent="0.3">
      <c r="A47">
        <v>1046</v>
      </c>
      <c r="B47" s="1">
        <v>45839</v>
      </c>
      <c r="C47" t="s">
        <v>50</v>
      </c>
      <c r="D47" t="s">
        <v>29</v>
      </c>
      <c r="E47">
        <v>40</v>
      </c>
      <c r="F47" t="s">
        <v>46</v>
      </c>
      <c r="G47" t="s">
        <v>47</v>
      </c>
      <c r="H47" t="s">
        <v>25</v>
      </c>
      <c r="I47" t="s">
        <v>59</v>
      </c>
      <c r="J47">
        <v>4</v>
      </c>
      <c r="K47">
        <v>11459</v>
      </c>
      <c r="L47" s="2">
        <v>0.05</v>
      </c>
      <c r="M47" t="s">
        <v>35</v>
      </c>
      <c r="N47">
        <v>43544.2</v>
      </c>
      <c r="O47">
        <v>5364.58</v>
      </c>
    </row>
    <row r="48" spans="1:15" x14ac:dyDescent="0.3">
      <c r="A48">
        <v>1047</v>
      </c>
      <c r="B48" s="1">
        <v>45969</v>
      </c>
      <c r="C48" t="s">
        <v>38</v>
      </c>
      <c r="D48" t="s">
        <v>16</v>
      </c>
      <c r="E48">
        <v>55</v>
      </c>
      <c r="F48" t="s">
        <v>23</v>
      </c>
      <c r="G48" t="s">
        <v>24</v>
      </c>
      <c r="H48" t="s">
        <v>43</v>
      </c>
      <c r="I48" t="s">
        <v>51</v>
      </c>
      <c r="J48">
        <v>6</v>
      </c>
      <c r="K48">
        <v>10415</v>
      </c>
      <c r="L48" s="2">
        <v>0</v>
      </c>
      <c r="M48" t="s">
        <v>21</v>
      </c>
      <c r="N48">
        <v>62490</v>
      </c>
      <c r="O48">
        <v>8887.1</v>
      </c>
    </row>
    <row r="49" spans="1:15" x14ac:dyDescent="0.3">
      <c r="A49">
        <v>1048</v>
      </c>
      <c r="B49" s="1">
        <v>45992</v>
      </c>
      <c r="C49" t="s">
        <v>15</v>
      </c>
      <c r="D49" t="s">
        <v>29</v>
      </c>
      <c r="E49">
        <v>56</v>
      </c>
      <c r="F49" t="s">
        <v>46</v>
      </c>
      <c r="G49" t="s">
        <v>47</v>
      </c>
      <c r="H49" t="s">
        <v>19</v>
      </c>
      <c r="I49" t="s">
        <v>45</v>
      </c>
      <c r="J49">
        <v>2</v>
      </c>
      <c r="K49">
        <v>21251</v>
      </c>
      <c r="L49" s="2">
        <v>0.15</v>
      </c>
      <c r="M49" t="s">
        <v>35</v>
      </c>
      <c r="N49">
        <v>36126.699999999997</v>
      </c>
      <c r="O49">
        <v>7146.03</v>
      </c>
    </row>
    <row r="50" spans="1:15" x14ac:dyDescent="0.3">
      <c r="A50">
        <v>1049</v>
      </c>
      <c r="B50" s="1">
        <v>45927</v>
      </c>
      <c r="C50" t="s">
        <v>52</v>
      </c>
      <c r="D50" t="s">
        <v>29</v>
      </c>
      <c r="E50">
        <v>55</v>
      </c>
      <c r="F50" t="s">
        <v>46</v>
      </c>
      <c r="G50" t="s">
        <v>47</v>
      </c>
      <c r="H50" t="s">
        <v>36</v>
      </c>
      <c r="I50" t="s">
        <v>37</v>
      </c>
      <c r="J50">
        <v>4</v>
      </c>
      <c r="K50">
        <v>5857</v>
      </c>
      <c r="L50" s="2">
        <v>0.15</v>
      </c>
      <c r="M50" t="s">
        <v>27</v>
      </c>
      <c r="N50">
        <v>19913.8</v>
      </c>
      <c r="O50">
        <v>4803.96</v>
      </c>
    </row>
    <row r="51" spans="1:15" x14ac:dyDescent="0.3">
      <c r="A51">
        <v>1050</v>
      </c>
      <c r="B51" s="1">
        <v>45784</v>
      </c>
      <c r="C51" t="s">
        <v>42</v>
      </c>
      <c r="D51" t="s">
        <v>16</v>
      </c>
      <c r="E51">
        <v>43</v>
      </c>
      <c r="F51" t="s">
        <v>33</v>
      </c>
      <c r="G51" t="s">
        <v>33</v>
      </c>
      <c r="H51" t="s">
        <v>43</v>
      </c>
      <c r="I51" t="s">
        <v>51</v>
      </c>
      <c r="J51">
        <v>4</v>
      </c>
      <c r="K51">
        <v>7389</v>
      </c>
      <c r="L51" s="2">
        <v>0</v>
      </c>
      <c r="M51" t="s">
        <v>31</v>
      </c>
      <c r="N51">
        <v>29556</v>
      </c>
      <c r="O51">
        <v>5359.92</v>
      </c>
    </row>
    <row r="52" spans="1:15" x14ac:dyDescent="0.3">
      <c r="A52">
        <v>1051</v>
      </c>
      <c r="B52" s="1">
        <v>45727</v>
      </c>
      <c r="C52" t="s">
        <v>42</v>
      </c>
      <c r="D52" t="s">
        <v>16</v>
      </c>
      <c r="E52">
        <v>54</v>
      </c>
      <c r="F52" t="s">
        <v>33</v>
      </c>
      <c r="G52" t="s">
        <v>33</v>
      </c>
      <c r="H52" t="s">
        <v>19</v>
      </c>
      <c r="I52" t="s">
        <v>20</v>
      </c>
      <c r="J52">
        <v>4</v>
      </c>
      <c r="K52">
        <v>43180</v>
      </c>
      <c r="L52" s="2">
        <v>0.1</v>
      </c>
      <c r="M52" t="s">
        <v>31</v>
      </c>
      <c r="N52">
        <v>155448</v>
      </c>
      <c r="O52">
        <v>37224.410000000003</v>
      </c>
    </row>
    <row r="53" spans="1:15" x14ac:dyDescent="0.3">
      <c r="A53">
        <v>1052</v>
      </c>
      <c r="B53" s="1">
        <v>45973</v>
      </c>
      <c r="C53" t="s">
        <v>41</v>
      </c>
      <c r="D53" t="s">
        <v>29</v>
      </c>
      <c r="E53">
        <v>36</v>
      </c>
      <c r="F53" t="s">
        <v>23</v>
      </c>
      <c r="G53" t="s">
        <v>24</v>
      </c>
      <c r="H53" t="s">
        <v>43</v>
      </c>
      <c r="I53" t="s">
        <v>44</v>
      </c>
      <c r="J53">
        <v>4</v>
      </c>
      <c r="K53">
        <v>44040</v>
      </c>
      <c r="L53" s="2">
        <v>0</v>
      </c>
      <c r="M53" t="s">
        <v>35</v>
      </c>
      <c r="N53">
        <v>176160</v>
      </c>
      <c r="O53">
        <v>19625.46</v>
      </c>
    </row>
    <row r="54" spans="1:15" x14ac:dyDescent="0.3">
      <c r="A54">
        <v>1053</v>
      </c>
      <c r="B54" s="1">
        <v>46015</v>
      </c>
      <c r="C54" t="s">
        <v>50</v>
      </c>
      <c r="D54" t="s">
        <v>16</v>
      </c>
      <c r="E54">
        <v>57</v>
      </c>
      <c r="F54" t="s">
        <v>23</v>
      </c>
      <c r="G54" t="s">
        <v>24</v>
      </c>
      <c r="H54" t="s">
        <v>43</v>
      </c>
      <c r="I54" t="s">
        <v>51</v>
      </c>
      <c r="J54">
        <v>3</v>
      </c>
      <c r="K54">
        <v>36908</v>
      </c>
      <c r="L54" s="2">
        <v>0.1</v>
      </c>
      <c r="M54" t="s">
        <v>27</v>
      </c>
      <c r="N54">
        <v>99651.6</v>
      </c>
      <c r="O54">
        <v>7750.28</v>
      </c>
    </row>
    <row r="55" spans="1:15" x14ac:dyDescent="0.3">
      <c r="A55">
        <v>1054</v>
      </c>
      <c r="B55" s="1">
        <v>45961</v>
      </c>
      <c r="C55" t="s">
        <v>50</v>
      </c>
      <c r="D55" t="s">
        <v>16</v>
      </c>
      <c r="E55">
        <v>42</v>
      </c>
      <c r="F55" t="s">
        <v>33</v>
      </c>
      <c r="G55" t="s">
        <v>33</v>
      </c>
      <c r="H55" t="s">
        <v>36</v>
      </c>
      <c r="I55" t="s">
        <v>37</v>
      </c>
      <c r="J55">
        <v>7</v>
      </c>
      <c r="K55">
        <v>36851</v>
      </c>
      <c r="L55" s="2">
        <v>0.1</v>
      </c>
      <c r="M55" t="s">
        <v>21</v>
      </c>
      <c r="N55">
        <v>232161.3</v>
      </c>
      <c r="O55">
        <v>48500.24</v>
      </c>
    </row>
    <row r="56" spans="1:15" x14ac:dyDescent="0.3">
      <c r="A56">
        <v>1055</v>
      </c>
      <c r="B56" s="1">
        <v>45883</v>
      </c>
      <c r="C56" t="s">
        <v>32</v>
      </c>
      <c r="D56" t="s">
        <v>16</v>
      </c>
      <c r="E56">
        <v>38</v>
      </c>
      <c r="F56" t="s">
        <v>46</v>
      </c>
      <c r="G56" t="s">
        <v>47</v>
      </c>
      <c r="H56" t="s">
        <v>25</v>
      </c>
      <c r="I56" t="s">
        <v>30</v>
      </c>
      <c r="J56">
        <v>5</v>
      </c>
      <c r="K56">
        <v>22870</v>
      </c>
      <c r="L56" s="2">
        <v>0.15</v>
      </c>
      <c r="M56" t="s">
        <v>31</v>
      </c>
      <c r="N56">
        <v>97197.5</v>
      </c>
      <c r="O56">
        <v>21156.48</v>
      </c>
    </row>
    <row r="57" spans="1:15" x14ac:dyDescent="0.3">
      <c r="A57">
        <v>1056</v>
      </c>
      <c r="B57" s="1">
        <v>45978</v>
      </c>
      <c r="C57" t="s">
        <v>42</v>
      </c>
      <c r="D57" t="s">
        <v>29</v>
      </c>
      <c r="E57">
        <v>30</v>
      </c>
      <c r="F57" t="s">
        <v>17</v>
      </c>
      <c r="G57" t="s">
        <v>18</v>
      </c>
      <c r="H57" t="s">
        <v>43</v>
      </c>
      <c r="I57" t="s">
        <v>44</v>
      </c>
      <c r="J57">
        <v>2</v>
      </c>
      <c r="K57">
        <v>6733</v>
      </c>
      <c r="L57" s="2">
        <v>0.15</v>
      </c>
      <c r="M57" t="s">
        <v>35</v>
      </c>
      <c r="N57">
        <v>11446.1</v>
      </c>
      <c r="O57">
        <v>2617.3000000000002</v>
      </c>
    </row>
    <row r="58" spans="1:15" x14ac:dyDescent="0.3">
      <c r="A58">
        <v>1057</v>
      </c>
      <c r="B58" s="1">
        <v>45777</v>
      </c>
      <c r="C58" t="s">
        <v>28</v>
      </c>
      <c r="D58" t="s">
        <v>16</v>
      </c>
      <c r="E58">
        <v>50</v>
      </c>
      <c r="F58" t="s">
        <v>23</v>
      </c>
      <c r="G58" t="s">
        <v>24</v>
      </c>
      <c r="H58" t="s">
        <v>19</v>
      </c>
      <c r="I58" t="s">
        <v>20</v>
      </c>
      <c r="J58">
        <v>6</v>
      </c>
      <c r="K58">
        <v>30401</v>
      </c>
      <c r="L58" s="2">
        <v>0.05</v>
      </c>
      <c r="M58" t="s">
        <v>31</v>
      </c>
      <c r="N58">
        <v>173285.7</v>
      </c>
      <c r="O58">
        <v>27381.88</v>
      </c>
    </row>
    <row r="59" spans="1:15" x14ac:dyDescent="0.3">
      <c r="A59">
        <v>1058</v>
      </c>
      <c r="B59" s="1">
        <v>45735</v>
      </c>
      <c r="C59" t="s">
        <v>50</v>
      </c>
      <c r="D59" t="s">
        <v>16</v>
      </c>
      <c r="E59">
        <v>34</v>
      </c>
      <c r="F59" t="s">
        <v>33</v>
      </c>
      <c r="G59" t="s">
        <v>33</v>
      </c>
      <c r="H59" t="s">
        <v>36</v>
      </c>
      <c r="I59" t="s">
        <v>37</v>
      </c>
      <c r="J59">
        <v>6</v>
      </c>
      <c r="K59">
        <v>48799</v>
      </c>
      <c r="L59" s="2">
        <v>0.15</v>
      </c>
      <c r="M59" t="s">
        <v>21</v>
      </c>
      <c r="N59">
        <v>248874.9</v>
      </c>
      <c r="O59">
        <v>21389.439999999999</v>
      </c>
    </row>
    <row r="60" spans="1:15" x14ac:dyDescent="0.3">
      <c r="A60">
        <v>1059</v>
      </c>
      <c r="B60" s="1">
        <v>45922</v>
      </c>
      <c r="C60" t="s">
        <v>38</v>
      </c>
      <c r="D60" t="s">
        <v>29</v>
      </c>
      <c r="E60">
        <v>30</v>
      </c>
      <c r="F60" t="s">
        <v>33</v>
      </c>
      <c r="G60" t="s">
        <v>33</v>
      </c>
      <c r="H60" t="s">
        <v>36</v>
      </c>
      <c r="I60" t="s">
        <v>39</v>
      </c>
      <c r="J60">
        <v>6</v>
      </c>
      <c r="K60">
        <v>31431</v>
      </c>
      <c r="L60" s="2">
        <v>0.05</v>
      </c>
      <c r="M60" t="s">
        <v>21</v>
      </c>
      <c r="N60">
        <v>179156.7</v>
      </c>
      <c r="O60">
        <v>40839.56</v>
      </c>
    </row>
    <row r="61" spans="1:15" x14ac:dyDescent="0.3">
      <c r="A61">
        <v>1060</v>
      </c>
      <c r="B61" s="1">
        <v>45885</v>
      </c>
      <c r="C61" t="s">
        <v>41</v>
      </c>
      <c r="D61" t="s">
        <v>29</v>
      </c>
      <c r="E61">
        <v>37</v>
      </c>
      <c r="F61" t="s">
        <v>46</v>
      </c>
      <c r="G61" t="s">
        <v>47</v>
      </c>
      <c r="H61" t="s">
        <v>43</v>
      </c>
      <c r="I61" t="s">
        <v>51</v>
      </c>
      <c r="J61">
        <v>3</v>
      </c>
      <c r="K61">
        <v>47263</v>
      </c>
      <c r="L61" s="2">
        <v>0.15</v>
      </c>
      <c r="M61" t="s">
        <v>35</v>
      </c>
      <c r="N61">
        <v>120520.65</v>
      </c>
      <c r="O61">
        <v>11965.26</v>
      </c>
    </row>
    <row r="62" spans="1:15" x14ac:dyDescent="0.3">
      <c r="A62">
        <v>1061</v>
      </c>
      <c r="B62" s="1">
        <v>45996</v>
      </c>
      <c r="C62" t="s">
        <v>58</v>
      </c>
      <c r="D62" t="s">
        <v>16</v>
      </c>
      <c r="E62">
        <v>19</v>
      </c>
      <c r="F62" t="s">
        <v>23</v>
      </c>
      <c r="G62" t="s">
        <v>24</v>
      </c>
      <c r="H62" t="s">
        <v>25</v>
      </c>
      <c r="I62" t="s">
        <v>30</v>
      </c>
      <c r="J62">
        <v>5</v>
      </c>
      <c r="K62">
        <v>23868</v>
      </c>
      <c r="L62" s="2">
        <v>0.15</v>
      </c>
      <c r="M62" t="s">
        <v>21</v>
      </c>
      <c r="N62">
        <v>101439</v>
      </c>
      <c r="O62">
        <v>6466.06</v>
      </c>
    </row>
    <row r="63" spans="1:15" x14ac:dyDescent="0.3">
      <c r="A63">
        <v>1062</v>
      </c>
      <c r="B63" s="1">
        <v>45714</v>
      </c>
      <c r="C63" t="s">
        <v>28</v>
      </c>
      <c r="D63" t="s">
        <v>29</v>
      </c>
      <c r="E63">
        <v>49</v>
      </c>
      <c r="F63" t="s">
        <v>23</v>
      </c>
      <c r="G63" t="s">
        <v>24</v>
      </c>
      <c r="H63" t="s">
        <v>19</v>
      </c>
      <c r="I63" t="s">
        <v>45</v>
      </c>
      <c r="J63">
        <v>1</v>
      </c>
      <c r="K63">
        <v>21375</v>
      </c>
      <c r="L63" s="2">
        <v>0.15</v>
      </c>
      <c r="M63" t="s">
        <v>35</v>
      </c>
      <c r="N63">
        <v>18168.75</v>
      </c>
      <c r="O63">
        <v>2779.77</v>
      </c>
    </row>
    <row r="64" spans="1:15" x14ac:dyDescent="0.3">
      <c r="A64">
        <v>1063</v>
      </c>
      <c r="B64" s="1">
        <v>45770</v>
      </c>
      <c r="C64" t="s">
        <v>32</v>
      </c>
      <c r="D64" t="s">
        <v>29</v>
      </c>
      <c r="E64">
        <v>57</v>
      </c>
      <c r="F64" t="s">
        <v>23</v>
      </c>
      <c r="G64" t="s">
        <v>24</v>
      </c>
      <c r="H64" t="s">
        <v>36</v>
      </c>
      <c r="I64" t="s">
        <v>37</v>
      </c>
      <c r="J64">
        <v>2</v>
      </c>
      <c r="K64">
        <v>39583</v>
      </c>
      <c r="L64" s="2">
        <v>0</v>
      </c>
      <c r="M64" t="s">
        <v>35</v>
      </c>
      <c r="N64">
        <v>79166</v>
      </c>
      <c r="O64">
        <v>7962.32</v>
      </c>
    </row>
    <row r="65" spans="1:15" x14ac:dyDescent="0.3">
      <c r="A65">
        <v>1064</v>
      </c>
      <c r="B65" s="1">
        <v>45714</v>
      </c>
      <c r="C65" t="s">
        <v>50</v>
      </c>
      <c r="D65" t="s">
        <v>16</v>
      </c>
      <c r="E65">
        <v>36</v>
      </c>
      <c r="F65" t="s">
        <v>23</v>
      </c>
      <c r="G65" t="s">
        <v>24</v>
      </c>
      <c r="H65" t="s">
        <v>25</v>
      </c>
      <c r="I65" t="s">
        <v>30</v>
      </c>
      <c r="J65">
        <v>8</v>
      </c>
      <c r="K65">
        <v>32199</v>
      </c>
      <c r="L65" s="2">
        <v>0.05</v>
      </c>
      <c r="M65" t="s">
        <v>35</v>
      </c>
      <c r="N65">
        <v>244712.4</v>
      </c>
      <c r="O65">
        <v>24597.89</v>
      </c>
    </row>
    <row r="66" spans="1:15" x14ac:dyDescent="0.3">
      <c r="A66">
        <v>1065</v>
      </c>
      <c r="B66" s="1">
        <v>45787</v>
      </c>
      <c r="C66" t="s">
        <v>15</v>
      </c>
      <c r="D66" t="s">
        <v>16</v>
      </c>
      <c r="E66">
        <v>48</v>
      </c>
      <c r="F66" t="s">
        <v>33</v>
      </c>
      <c r="G66" t="s">
        <v>33</v>
      </c>
      <c r="H66" t="s">
        <v>25</v>
      </c>
      <c r="I66" t="s">
        <v>26</v>
      </c>
      <c r="J66">
        <v>3</v>
      </c>
      <c r="K66">
        <v>16893</v>
      </c>
      <c r="L66" s="2">
        <v>0</v>
      </c>
      <c r="M66" t="s">
        <v>35</v>
      </c>
      <c r="N66">
        <v>50679</v>
      </c>
      <c r="O66">
        <v>9081.98</v>
      </c>
    </row>
    <row r="67" spans="1:15" x14ac:dyDescent="0.3">
      <c r="A67">
        <v>1066</v>
      </c>
      <c r="B67" s="1">
        <v>45822</v>
      </c>
      <c r="C67" t="s">
        <v>58</v>
      </c>
      <c r="D67" t="s">
        <v>16</v>
      </c>
      <c r="E67">
        <v>32</v>
      </c>
      <c r="F67" t="s">
        <v>46</v>
      </c>
      <c r="G67" t="s">
        <v>47</v>
      </c>
      <c r="H67" t="s">
        <v>19</v>
      </c>
      <c r="I67" t="s">
        <v>34</v>
      </c>
      <c r="J67">
        <v>2</v>
      </c>
      <c r="K67">
        <v>28742</v>
      </c>
      <c r="L67" s="2">
        <v>0.05</v>
      </c>
      <c r="M67" t="s">
        <v>31</v>
      </c>
      <c r="N67">
        <v>54609.8</v>
      </c>
      <c r="O67">
        <v>11754.3</v>
      </c>
    </row>
    <row r="68" spans="1:15" x14ac:dyDescent="0.3">
      <c r="A68">
        <v>1067</v>
      </c>
      <c r="B68" s="1">
        <v>45965</v>
      </c>
      <c r="C68" t="s">
        <v>38</v>
      </c>
      <c r="D68" t="s">
        <v>29</v>
      </c>
      <c r="E68">
        <v>24</v>
      </c>
      <c r="F68" t="s">
        <v>33</v>
      </c>
      <c r="G68" t="s">
        <v>33</v>
      </c>
      <c r="H68" t="s">
        <v>43</v>
      </c>
      <c r="I68" t="s">
        <v>56</v>
      </c>
      <c r="J68">
        <v>5</v>
      </c>
      <c r="K68">
        <v>33758</v>
      </c>
      <c r="L68" s="2">
        <v>0.1</v>
      </c>
      <c r="M68" t="s">
        <v>21</v>
      </c>
      <c r="N68">
        <v>151911</v>
      </c>
      <c r="O68">
        <v>20119.8</v>
      </c>
    </row>
    <row r="69" spans="1:15" x14ac:dyDescent="0.3">
      <c r="A69">
        <v>1068</v>
      </c>
      <c r="B69" s="1">
        <v>45981</v>
      </c>
      <c r="C69" t="s">
        <v>50</v>
      </c>
      <c r="D69" t="s">
        <v>16</v>
      </c>
      <c r="E69">
        <v>53</v>
      </c>
      <c r="F69" t="s">
        <v>33</v>
      </c>
      <c r="G69" t="s">
        <v>33</v>
      </c>
      <c r="H69" t="s">
        <v>36</v>
      </c>
      <c r="I69" t="s">
        <v>37</v>
      </c>
      <c r="J69">
        <v>1</v>
      </c>
      <c r="K69">
        <v>29366</v>
      </c>
      <c r="L69" s="2">
        <v>0.1</v>
      </c>
      <c r="M69" t="s">
        <v>31</v>
      </c>
      <c r="N69">
        <v>26429.4</v>
      </c>
      <c r="O69">
        <v>5746.61</v>
      </c>
    </row>
    <row r="70" spans="1:15" x14ac:dyDescent="0.3">
      <c r="A70">
        <v>1069</v>
      </c>
      <c r="B70" s="1">
        <v>45964</v>
      </c>
      <c r="C70" t="s">
        <v>22</v>
      </c>
      <c r="D70" t="s">
        <v>16</v>
      </c>
      <c r="E70">
        <v>21</v>
      </c>
      <c r="F70" t="s">
        <v>48</v>
      </c>
      <c r="G70" t="s">
        <v>49</v>
      </c>
      <c r="H70" t="s">
        <v>19</v>
      </c>
      <c r="I70" t="s">
        <v>45</v>
      </c>
      <c r="J70">
        <v>8</v>
      </c>
      <c r="K70">
        <v>41798</v>
      </c>
      <c r="L70" s="2">
        <v>0.1</v>
      </c>
      <c r="M70" t="s">
        <v>21</v>
      </c>
      <c r="N70">
        <v>300945.59999999998</v>
      </c>
      <c r="O70">
        <v>24020.15</v>
      </c>
    </row>
    <row r="71" spans="1:15" x14ac:dyDescent="0.3">
      <c r="A71">
        <v>1070</v>
      </c>
      <c r="B71" s="1">
        <v>45713</v>
      </c>
      <c r="C71" t="s">
        <v>22</v>
      </c>
      <c r="D71" t="s">
        <v>16</v>
      </c>
      <c r="E71">
        <v>42</v>
      </c>
      <c r="F71" t="s">
        <v>23</v>
      </c>
      <c r="G71" t="s">
        <v>24</v>
      </c>
      <c r="H71" t="s">
        <v>19</v>
      </c>
      <c r="I71" t="s">
        <v>20</v>
      </c>
      <c r="J71">
        <v>5</v>
      </c>
      <c r="K71">
        <v>42362</v>
      </c>
      <c r="L71" s="2">
        <v>0.15</v>
      </c>
      <c r="M71" t="s">
        <v>27</v>
      </c>
      <c r="N71">
        <v>180038.5</v>
      </c>
      <c r="O71">
        <v>30968.93</v>
      </c>
    </row>
    <row r="72" spans="1:15" x14ac:dyDescent="0.3">
      <c r="A72">
        <v>1071</v>
      </c>
      <c r="B72" s="1">
        <v>45929</v>
      </c>
      <c r="C72" t="s">
        <v>32</v>
      </c>
      <c r="D72" t="s">
        <v>16</v>
      </c>
      <c r="E72">
        <v>32</v>
      </c>
      <c r="F72" t="s">
        <v>46</v>
      </c>
      <c r="G72" t="s">
        <v>47</v>
      </c>
      <c r="H72" t="s">
        <v>25</v>
      </c>
      <c r="I72" t="s">
        <v>54</v>
      </c>
      <c r="J72">
        <v>3</v>
      </c>
      <c r="K72">
        <v>8779</v>
      </c>
      <c r="L72" s="2">
        <v>0.05</v>
      </c>
      <c r="M72" t="s">
        <v>21</v>
      </c>
      <c r="N72">
        <v>25020.15</v>
      </c>
      <c r="O72">
        <v>1445.36</v>
      </c>
    </row>
    <row r="73" spans="1:15" x14ac:dyDescent="0.3">
      <c r="A73">
        <v>1072</v>
      </c>
      <c r="B73" s="1">
        <v>46007</v>
      </c>
      <c r="C73" t="s">
        <v>52</v>
      </c>
      <c r="D73" t="s">
        <v>16</v>
      </c>
      <c r="E73">
        <v>49</v>
      </c>
      <c r="F73" t="s">
        <v>48</v>
      </c>
      <c r="G73" t="s">
        <v>49</v>
      </c>
      <c r="H73" t="s">
        <v>36</v>
      </c>
      <c r="I73" t="s">
        <v>40</v>
      </c>
      <c r="J73">
        <v>1</v>
      </c>
      <c r="K73">
        <v>13123</v>
      </c>
      <c r="L73" s="2">
        <v>0</v>
      </c>
      <c r="M73" t="s">
        <v>27</v>
      </c>
      <c r="N73">
        <v>13123</v>
      </c>
      <c r="O73">
        <v>2963.35</v>
      </c>
    </row>
    <row r="74" spans="1:15" x14ac:dyDescent="0.3">
      <c r="A74">
        <v>1073</v>
      </c>
      <c r="B74" s="1">
        <v>45867</v>
      </c>
      <c r="C74" t="s">
        <v>15</v>
      </c>
      <c r="D74" t="s">
        <v>29</v>
      </c>
      <c r="E74">
        <v>35</v>
      </c>
      <c r="F74" t="s">
        <v>48</v>
      </c>
      <c r="G74" t="s">
        <v>49</v>
      </c>
      <c r="H74" t="s">
        <v>36</v>
      </c>
      <c r="I74" t="s">
        <v>39</v>
      </c>
      <c r="J74">
        <v>3</v>
      </c>
      <c r="K74">
        <v>26054</v>
      </c>
      <c r="L74" s="2">
        <v>0.1</v>
      </c>
      <c r="M74" t="s">
        <v>35</v>
      </c>
      <c r="N74">
        <v>70345.8</v>
      </c>
      <c r="O74">
        <v>6749.89</v>
      </c>
    </row>
    <row r="75" spans="1:15" x14ac:dyDescent="0.3">
      <c r="A75">
        <v>1074</v>
      </c>
      <c r="B75" s="1">
        <v>45720</v>
      </c>
      <c r="C75" t="s">
        <v>15</v>
      </c>
      <c r="D75" t="s">
        <v>16</v>
      </c>
      <c r="E75">
        <v>52</v>
      </c>
      <c r="F75" t="s">
        <v>23</v>
      </c>
      <c r="G75" t="s">
        <v>24</v>
      </c>
      <c r="H75" t="s">
        <v>19</v>
      </c>
      <c r="I75" t="s">
        <v>45</v>
      </c>
      <c r="J75">
        <v>4</v>
      </c>
      <c r="K75">
        <v>8788</v>
      </c>
      <c r="L75" s="2">
        <v>0.05</v>
      </c>
      <c r="M75" t="s">
        <v>35</v>
      </c>
      <c r="N75">
        <v>33394.400000000001</v>
      </c>
      <c r="O75">
        <v>5942.22</v>
      </c>
    </row>
    <row r="76" spans="1:15" x14ac:dyDescent="0.3">
      <c r="A76">
        <v>1075</v>
      </c>
      <c r="B76" s="1">
        <v>45773</v>
      </c>
      <c r="C76" t="s">
        <v>15</v>
      </c>
      <c r="D76" t="s">
        <v>16</v>
      </c>
      <c r="E76">
        <v>50</v>
      </c>
      <c r="F76" t="s">
        <v>46</v>
      </c>
      <c r="G76" t="s">
        <v>47</v>
      </c>
      <c r="H76" t="s">
        <v>43</v>
      </c>
      <c r="I76" t="s">
        <v>55</v>
      </c>
      <c r="J76">
        <v>2</v>
      </c>
      <c r="K76">
        <v>35224</v>
      </c>
      <c r="L76" s="2">
        <v>0.1</v>
      </c>
      <c r="M76" t="s">
        <v>31</v>
      </c>
      <c r="N76">
        <v>63403.199999999997</v>
      </c>
      <c r="O76">
        <v>5787.62</v>
      </c>
    </row>
    <row r="77" spans="1:15" x14ac:dyDescent="0.3">
      <c r="A77">
        <v>1076</v>
      </c>
      <c r="B77" s="1">
        <v>45739</v>
      </c>
      <c r="C77" t="s">
        <v>32</v>
      </c>
      <c r="D77" t="s">
        <v>29</v>
      </c>
      <c r="E77">
        <v>23</v>
      </c>
      <c r="F77" t="s">
        <v>23</v>
      </c>
      <c r="G77" t="s">
        <v>24</v>
      </c>
      <c r="H77" t="s">
        <v>36</v>
      </c>
      <c r="I77" t="s">
        <v>40</v>
      </c>
      <c r="J77">
        <v>3</v>
      </c>
      <c r="K77">
        <v>28602</v>
      </c>
      <c r="L77" s="2">
        <v>0.1</v>
      </c>
      <c r="M77" t="s">
        <v>35</v>
      </c>
      <c r="N77">
        <v>77225.399999999994</v>
      </c>
      <c r="O77">
        <v>5798.35</v>
      </c>
    </row>
    <row r="78" spans="1:15" x14ac:dyDescent="0.3">
      <c r="A78">
        <v>1077</v>
      </c>
      <c r="B78" s="1">
        <v>45917</v>
      </c>
      <c r="C78" t="s">
        <v>41</v>
      </c>
      <c r="D78" t="s">
        <v>16</v>
      </c>
      <c r="E78">
        <v>45</v>
      </c>
      <c r="F78" t="s">
        <v>33</v>
      </c>
      <c r="G78" t="s">
        <v>33</v>
      </c>
      <c r="H78" t="s">
        <v>25</v>
      </c>
      <c r="I78" t="s">
        <v>30</v>
      </c>
      <c r="J78">
        <v>5</v>
      </c>
      <c r="K78">
        <v>23453</v>
      </c>
      <c r="L78" s="2">
        <v>0</v>
      </c>
      <c r="M78" t="s">
        <v>21</v>
      </c>
      <c r="N78">
        <v>117265</v>
      </c>
      <c r="O78">
        <v>11323.16</v>
      </c>
    </row>
    <row r="79" spans="1:15" x14ac:dyDescent="0.3">
      <c r="A79">
        <v>1078</v>
      </c>
      <c r="B79" s="1">
        <v>45812</v>
      </c>
      <c r="C79" t="s">
        <v>32</v>
      </c>
      <c r="D79" t="s">
        <v>16</v>
      </c>
      <c r="E79">
        <v>23</v>
      </c>
      <c r="F79" t="s">
        <v>23</v>
      </c>
      <c r="G79" t="s">
        <v>24</v>
      </c>
      <c r="H79" t="s">
        <v>25</v>
      </c>
      <c r="I79" t="s">
        <v>54</v>
      </c>
      <c r="J79">
        <v>4</v>
      </c>
      <c r="K79">
        <v>29515</v>
      </c>
      <c r="L79" s="2">
        <v>0.15</v>
      </c>
      <c r="M79" t="s">
        <v>27</v>
      </c>
      <c r="N79">
        <v>100351</v>
      </c>
      <c r="O79">
        <v>20865.830000000002</v>
      </c>
    </row>
    <row r="80" spans="1:15" x14ac:dyDescent="0.3">
      <c r="A80">
        <v>1079</v>
      </c>
      <c r="B80" s="1">
        <v>45948</v>
      </c>
      <c r="C80" t="s">
        <v>22</v>
      </c>
      <c r="D80" t="s">
        <v>29</v>
      </c>
      <c r="E80">
        <v>38</v>
      </c>
      <c r="F80" t="s">
        <v>17</v>
      </c>
      <c r="G80" t="s">
        <v>18</v>
      </c>
      <c r="H80" t="s">
        <v>36</v>
      </c>
      <c r="I80" t="s">
        <v>37</v>
      </c>
      <c r="J80">
        <v>8</v>
      </c>
      <c r="K80">
        <v>25604</v>
      </c>
      <c r="L80" s="2">
        <v>0.15</v>
      </c>
      <c r="M80" t="s">
        <v>35</v>
      </c>
      <c r="N80">
        <v>174107.2</v>
      </c>
      <c r="O80">
        <v>13705.81</v>
      </c>
    </row>
    <row r="81" spans="1:15" x14ac:dyDescent="0.3">
      <c r="A81">
        <v>1080</v>
      </c>
      <c r="B81" s="1">
        <v>45792</v>
      </c>
      <c r="C81" t="s">
        <v>58</v>
      </c>
      <c r="D81" t="s">
        <v>16</v>
      </c>
      <c r="E81">
        <v>41</v>
      </c>
      <c r="F81" t="s">
        <v>23</v>
      </c>
      <c r="G81" t="s">
        <v>24</v>
      </c>
      <c r="H81" t="s">
        <v>25</v>
      </c>
      <c r="I81" t="s">
        <v>30</v>
      </c>
      <c r="J81">
        <v>6</v>
      </c>
      <c r="K81">
        <v>5679</v>
      </c>
      <c r="L81" s="2">
        <v>0.15</v>
      </c>
      <c r="M81" t="s">
        <v>21</v>
      </c>
      <c r="N81">
        <v>28962.9</v>
      </c>
      <c r="O81">
        <v>3076.36</v>
      </c>
    </row>
    <row r="82" spans="1:15" x14ac:dyDescent="0.3">
      <c r="A82">
        <v>1081</v>
      </c>
      <c r="B82" s="1">
        <v>45692</v>
      </c>
      <c r="C82" t="s">
        <v>28</v>
      </c>
      <c r="D82" t="s">
        <v>29</v>
      </c>
      <c r="E82">
        <v>36</v>
      </c>
      <c r="F82" t="s">
        <v>48</v>
      </c>
      <c r="G82" t="s">
        <v>49</v>
      </c>
      <c r="H82" t="s">
        <v>19</v>
      </c>
      <c r="I82" t="s">
        <v>20</v>
      </c>
      <c r="J82">
        <v>7</v>
      </c>
      <c r="K82">
        <v>42043</v>
      </c>
      <c r="L82" s="2">
        <v>0.1</v>
      </c>
      <c r="M82" t="s">
        <v>35</v>
      </c>
      <c r="N82">
        <v>264870.90000000002</v>
      </c>
      <c r="O82">
        <v>61495.91</v>
      </c>
    </row>
    <row r="83" spans="1:15" x14ac:dyDescent="0.3">
      <c r="A83">
        <v>1082</v>
      </c>
      <c r="B83" s="1">
        <v>45855</v>
      </c>
      <c r="C83" t="s">
        <v>28</v>
      </c>
      <c r="D83" t="s">
        <v>16</v>
      </c>
      <c r="E83">
        <v>51</v>
      </c>
      <c r="F83" t="s">
        <v>33</v>
      </c>
      <c r="G83" t="s">
        <v>33</v>
      </c>
      <c r="H83" t="s">
        <v>43</v>
      </c>
      <c r="I83" t="s">
        <v>56</v>
      </c>
      <c r="J83">
        <v>4</v>
      </c>
      <c r="K83">
        <v>1132</v>
      </c>
      <c r="L83" s="2">
        <v>0.05</v>
      </c>
      <c r="M83" t="s">
        <v>27</v>
      </c>
      <c r="N83">
        <v>4301.6000000000004</v>
      </c>
      <c r="O83">
        <v>492.53</v>
      </c>
    </row>
    <row r="84" spans="1:15" x14ac:dyDescent="0.3">
      <c r="A84">
        <v>1083</v>
      </c>
      <c r="B84" s="1">
        <v>45698</v>
      </c>
      <c r="C84" t="s">
        <v>52</v>
      </c>
      <c r="D84" t="s">
        <v>16</v>
      </c>
      <c r="E84">
        <v>60</v>
      </c>
      <c r="F84" t="s">
        <v>23</v>
      </c>
      <c r="G84" t="s">
        <v>24</v>
      </c>
      <c r="H84" t="s">
        <v>36</v>
      </c>
      <c r="I84" t="s">
        <v>39</v>
      </c>
      <c r="J84">
        <v>5</v>
      </c>
      <c r="K84">
        <v>32520</v>
      </c>
      <c r="L84" s="2">
        <v>0.05</v>
      </c>
      <c r="M84" t="s">
        <v>21</v>
      </c>
      <c r="N84">
        <v>154470</v>
      </c>
      <c r="O84">
        <v>13979.18</v>
      </c>
    </row>
    <row r="85" spans="1:15" x14ac:dyDescent="0.3">
      <c r="A85">
        <v>1084</v>
      </c>
      <c r="B85" s="1">
        <v>45865</v>
      </c>
      <c r="C85" t="s">
        <v>50</v>
      </c>
      <c r="D85" t="s">
        <v>29</v>
      </c>
      <c r="E85">
        <v>41</v>
      </c>
      <c r="F85" t="s">
        <v>33</v>
      </c>
      <c r="G85" t="s">
        <v>33</v>
      </c>
      <c r="H85" t="s">
        <v>36</v>
      </c>
      <c r="I85" t="s">
        <v>37</v>
      </c>
      <c r="J85">
        <v>7</v>
      </c>
      <c r="K85">
        <v>34271</v>
      </c>
      <c r="L85" s="2">
        <v>0.15</v>
      </c>
      <c r="M85" t="s">
        <v>31</v>
      </c>
      <c r="N85">
        <v>203912.45</v>
      </c>
      <c r="O85">
        <v>16086.44</v>
      </c>
    </row>
    <row r="86" spans="1:15" x14ac:dyDescent="0.3">
      <c r="A86">
        <v>1085</v>
      </c>
      <c r="B86" s="1">
        <v>45748</v>
      </c>
      <c r="C86" t="s">
        <v>52</v>
      </c>
      <c r="D86" t="s">
        <v>16</v>
      </c>
      <c r="E86">
        <v>58</v>
      </c>
      <c r="F86" t="s">
        <v>46</v>
      </c>
      <c r="G86" t="s">
        <v>47</v>
      </c>
      <c r="H86" t="s">
        <v>36</v>
      </c>
      <c r="I86" t="s">
        <v>39</v>
      </c>
      <c r="J86">
        <v>4</v>
      </c>
      <c r="K86">
        <v>35910</v>
      </c>
      <c r="L86" s="2">
        <v>0.15</v>
      </c>
      <c r="M86" t="s">
        <v>27</v>
      </c>
      <c r="N86">
        <v>122094</v>
      </c>
      <c r="O86">
        <v>29392.57</v>
      </c>
    </row>
    <row r="87" spans="1:15" x14ac:dyDescent="0.3">
      <c r="A87">
        <v>1086</v>
      </c>
      <c r="B87" s="1">
        <v>46005</v>
      </c>
      <c r="C87" t="s">
        <v>41</v>
      </c>
      <c r="D87" t="s">
        <v>16</v>
      </c>
      <c r="E87">
        <v>32</v>
      </c>
      <c r="F87" t="s">
        <v>33</v>
      </c>
      <c r="G87" t="s">
        <v>33</v>
      </c>
      <c r="H87" t="s">
        <v>43</v>
      </c>
      <c r="I87" t="s">
        <v>51</v>
      </c>
      <c r="J87">
        <v>7</v>
      </c>
      <c r="K87">
        <v>34092</v>
      </c>
      <c r="L87" s="2">
        <v>0.05</v>
      </c>
      <c r="M87" t="s">
        <v>27</v>
      </c>
      <c r="N87">
        <v>226711.8</v>
      </c>
      <c r="O87">
        <v>44754.05</v>
      </c>
    </row>
    <row r="88" spans="1:15" x14ac:dyDescent="0.3">
      <c r="A88">
        <v>1087</v>
      </c>
      <c r="B88" s="1">
        <v>45719</v>
      </c>
      <c r="C88" t="s">
        <v>42</v>
      </c>
      <c r="D88" t="s">
        <v>29</v>
      </c>
      <c r="E88">
        <v>48</v>
      </c>
      <c r="F88" t="s">
        <v>33</v>
      </c>
      <c r="G88" t="s">
        <v>33</v>
      </c>
      <c r="H88" t="s">
        <v>43</v>
      </c>
      <c r="I88" t="s">
        <v>56</v>
      </c>
      <c r="J88">
        <v>8</v>
      </c>
      <c r="K88">
        <v>32793</v>
      </c>
      <c r="L88" s="2">
        <v>0</v>
      </c>
      <c r="M88" t="s">
        <v>35</v>
      </c>
      <c r="N88">
        <v>262344</v>
      </c>
      <c r="O88">
        <v>44858.28</v>
      </c>
    </row>
    <row r="89" spans="1:15" x14ac:dyDescent="0.3">
      <c r="A89">
        <v>1088</v>
      </c>
      <c r="B89" s="1">
        <v>45988</v>
      </c>
      <c r="C89" t="s">
        <v>22</v>
      </c>
      <c r="D89" t="s">
        <v>29</v>
      </c>
      <c r="E89">
        <v>47</v>
      </c>
      <c r="F89" t="s">
        <v>46</v>
      </c>
      <c r="G89" t="s">
        <v>47</v>
      </c>
      <c r="H89" t="s">
        <v>43</v>
      </c>
      <c r="I89" t="s">
        <v>44</v>
      </c>
      <c r="J89">
        <v>6</v>
      </c>
      <c r="K89">
        <v>14022</v>
      </c>
      <c r="L89" s="2">
        <v>0.15</v>
      </c>
      <c r="M89" t="s">
        <v>27</v>
      </c>
      <c r="N89">
        <v>71512.2</v>
      </c>
      <c r="O89">
        <v>4208.9399999999996</v>
      </c>
    </row>
    <row r="90" spans="1:15" x14ac:dyDescent="0.3">
      <c r="A90">
        <v>1089</v>
      </c>
      <c r="B90" s="1">
        <v>45743</v>
      </c>
      <c r="C90" t="s">
        <v>15</v>
      </c>
      <c r="D90" t="s">
        <v>16</v>
      </c>
      <c r="E90">
        <v>22</v>
      </c>
      <c r="F90" t="s">
        <v>23</v>
      </c>
      <c r="G90" t="s">
        <v>24</v>
      </c>
      <c r="H90" t="s">
        <v>36</v>
      </c>
      <c r="I90" t="s">
        <v>40</v>
      </c>
      <c r="J90">
        <v>1</v>
      </c>
      <c r="K90">
        <v>29598</v>
      </c>
      <c r="L90" s="2">
        <v>0</v>
      </c>
      <c r="M90" t="s">
        <v>31</v>
      </c>
      <c r="N90">
        <v>29598</v>
      </c>
      <c r="O90">
        <v>5753.98</v>
      </c>
    </row>
    <row r="91" spans="1:15" x14ac:dyDescent="0.3">
      <c r="A91">
        <v>1090</v>
      </c>
      <c r="B91" s="1">
        <v>45726</v>
      </c>
      <c r="C91" t="s">
        <v>41</v>
      </c>
      <c r="D91" t="s">
        <v>29</v>
      </c>
      <c r="E91">
        <v>33</v>
      </c>
      <c r="F91" t="s">
        <v>33</v>
      </c>
      <c r="G91" t="s">
        <v>33</v>
      </c>
      <c r="H91" t="s">
        <v>25</v>
      </c>
      <c r="I91" t="s">
        <v>54</v>
      </c>
      <c r="J91">
        <v>2</v>
      </c>
      <c r="K91">
        <v>47524</v>
      </c>
      <c r="L91" s="2">
        <v>0.1</v>
      </c>
      <c r="M91" t="s">
        <v>21</v>
      </c>
      <c r="N91">
        <v>85543.2</v>
      </c>
      <c r="O91">
        <v>14179.3</v>
      </c>
    </row>
    <row r="92" spans="1:15" x14ac:dyDescent="0.3">
      <c r="A92">
        <v>1091</v>
      </c>
      <c r="B92" s="1">
        <v>45707</v>
      </c>
      <c r="C92" t="s">
        <v>41</v>
      </c>
      <c r="D92" t="s">
        <v>29</v>
      </c>
      <c r="E92">
        <v>43</v>
      </c>
      <c r="F92" t="s">
        <v>23</v>
      </c>
      <c r="G92" t="s">
        <v>24</v>
      </c>
      <c r="H92" t="s">
        <v>43</v>
      </c>
      <c r="I92" t="s">
        <v>56</v>
      </c>
      <c r="J92">
        <v>5</v>
      </c>
      <c r="K92">
        <v>24575</v>
      </c>
      <c r="L92" s="2">
        <v>0.15</v>
      </c>
      <c r="M92" t="s">
        <v>21</v>
      </c>
      <c r="N92">
        <v>104443.75</v>
      </c>
      <c r="O92">
        <v>16377.91</v>
      </c>
    </row>
    <row r="93" spans="1:15" x14ac:dyDescent="0.3">
      <c r="A93">
        <v>1092</v>
      </c>
      <c r="B93" s="1">
        <v>45813</v>
      </c>
      <c r="C93" t="s">
        <v>22</v>
      </c>
      <c r="D93" t="s">
        <v>16</v>
      </c>
      <c r="E93">
        <v>60</v>
      </c>
      <c r="F93" t="s">
        <v>23</v>
      </c>
      <c r="G93" t="s">
        <v>24</v>
      </c>
      <c r="H93" t="s">
        <v>25</v>
      </c>
      <c r="I93" t="s">
        <v>30</v>
      </c>
      <c r="J93">
        <v>5</v>
      </c>
      <c r="K93">
        <v>25923</v>
      </c>
      <c r="L93" s="2">
        <v>0.15</v>
      </c>
      <c r="M93" t="s">
        <v>21</v>
      </c>
      <c r="N93">
        <v>110172.75</v>
      </c>
      <c r="O93">
        <v>14650.07</v>
      </c>
    </row>
    <row r="94" spans="1:15" x14ac:dyDescent="0.3">
      <c r="A94">
        <v>1093</v>
      </c>
      <c r="B94" s="1">
        <v>45685</v>
      </c>
      <c r="C94" t="s">
        <v>52</v>
      </c>
      <c r="D94" t="s">
        <v>29</v>
      </c>
      <c r="E94">
        <v>38</v>
      </c>
      <c r="F94" t="s">
        <v>33</v>
      </c>
      <c r="G94" t="s">
        <v>33</v>
      </c>
      <c r="H94" t="s">
        <v>43</v>
      </c>
      <c r="I94" t="s">
        <v>55</v>
      </c>
      <c r="J94">
        <v>4</v>
      </c>
      <c r="K94">
        <v>48415</v>
      </c>
      <c r="L94" s="2">
        <v>0.15</v>
      </c>
      <c r="M94" t="s">
        <v>27</v>
      </c>
      <c r="N94">
        <v>164611</v>
      </c>
      <c r="O94">
        <v>17796.3</v>
      </c>
    </row>
    <row r="95" spans="1:15" x14ac:dyDescent="0.3">
      <c r="A95">
        <v>1094</v>
      </c>
      <c r="B95" s="1">
        <v>45690</v>
      </c>
      <c r="C95" t="s">
        <v>38</v>
      </c>
      <c r="D95" t="s">
        <v>29</v>
      </c>
      <c r="E95">
        <v>45</v>
      </c>
      <c r="F95" t="s">
        <v>23</v>
      </c>
      <c r="G95" t="s">
        <v>24</v>
      </c>
      <c r="H95" t="s">
        <v>19</v>
      </c>
      <c r="I95" t="s">
        <v>45</v>
      </c>
      <c r="J95">
        <v>2</v>
      </c>
      <c r="K95">
        <v>49077</v>
      </c>
      <c r="L95" s="2">
        <v>0</v>
      </c>
      <c r="M95" t="s">
        <v>35</v>
      </c>
      <c r="N95">
        <v>98154</v>
      </c>
      <c r="O95">
        <v>18466.22</v>
      </c>
    </row>
    <row r="96" spans="1:15" x14ac:dyDescent="0.3">
      <c r="A96">
        <v>1095</v>
      </c>
      <c r="B96" s="1">
        <v>45828</v>
      </c>
      <c r="C96" t="s">
        <v>22</v>
      </c>
      <c r="D96" t="s">
        <v>29</v>
      </c>
      <c r="E96">
        <v>41</v>
      </c>
      <c r="F96" t="s">
        <v>23</v>
      </c>
      <c r="G96" t="s">
        <v>24</v>
      </c>
      <c r="H96" t="s">
        <v>36</v>
      </c>
      <c r="I96" t="s">
        <v>37</v>
      </c>
      <c r="J96">
        <v>5</v>
      </c>
      <c r="K96">
        <v>30100</v>
      </c>
      <c r="L96" s="2">
        <v>0.05</v>
      </c>
      <c r="M96" t="s">
        <v>27</v>
      </c>
      <c r="N96">
        <v>142975</v>
      </c>
      <c r="O96">
        <v>19538.990000000002</v>
      </c>
    </row>
    <row r="97" spans="1:15" x14ac:dyDescent="0.3">
      <c r="A97">
        <v>1096</v>
      </c>
      <c r="B97" s="1">
        <v>45995</v>
      </c>
      <c r="C97" t="s">
        <v>15</v>
      </c>
      <c r="D97" t="s">
        <v>16</v>
      </c>
      <c r="E97">
        <v>29</v>
      </c>
      <c r="F97" t="s">
        <v>33</v>
      </c>
      <c r="G97" t="s">
        <v>33</v>
      </c>
      <c r="H97" t="s">
        <v>36</v>
      </c>
      <c r="I97" t="s">
        <v>39</v>
      </c>
      <c r="J97">
        <v>1</v>
      </c>
      <c r="K97">
        <v>13218</v>
      </c>
      <c r="L97" s="2">
        <v>0.1</v>
      </c>
      <c r="M97" t="s">
        <v>27</v>
      </c>
      <c r="N97">
        <v>11896.2</v>
      </c>
      <c r="O97">
        <v>646.57000000000005</v>
      </c>
    </row>
    <row r="98" spans="1:15" x14ac:dyDescent="0.3">
      <c r="A98">
        <v>1097</v>
      </c>
      <c r="B98" s="1">
        <v>45676</v>
      </c>
      <c r="C98" t="s">
        <v>38</v>
      </c>
      <c r="D98" t="s">
        <v>29</v>
      </c>
      <c r="E98">
        <v>39</v>
      </c>
      <c r="F98" t="s">
        <v>33</v>
      </c>
      <c r="G98" t="s">
        <v>33</v>
      </c>
      <c r="H98" t="s">
        <v>25</v>
      </c>
      <c r="I98" t="s">
        <v>54</v>
      </c>
      <c r="J98">
        <v>4</v>
      </c>
      <c r="K98">
        <v>16811</v>
      </c>
      <c r="L98" s="2">
        <v>0.05</v>
      </c>
      <c r="M98" t="s">
        <v>27</v>
      </c>
      <c r="N98">
        <v>63881.8</v>
      </c>
      <c r="O98">
        <v>5030.12</v>
      </c>
    </row>
    <row r="99" spans="1:15" x14ac:dyDescent="0.3">
      <c r="A99">
        <v>1098</v>
      </c>
      <c r="B99" s="1">
        <v>45710</v>
      </c>
      <c r="C99" t="s">
        <v>50</v>
      </c>
      <c r="D99" t="s">
        <v>16</v>
      </c>
      <c r="E99">
        <v>41</v>
      </c>
      <c r="F99" t="s">
        <v>46</v>
      </c>
      <c r="G99" t="s">
        <v>47</v>
      </c>
      <c r="H99" t="s">
        <v>36</v>
      </c>
      <c r="I99" t="s">
        <v>37</v>
      </c>
      <c r="J99">
        <v>5</v>
      </c>
      <c r="K99">
        <v>20049</v>
      </c>
      <c r="L99" s="2">
        <v>0.05</v>
      </c>
      <c r="M99" t="s">
        <v>31</v>
      </c>
      <c r="N99">
        <v>95232.75</v>
      </c>
      <c r="O99">
        <v>10988.71</v>
      </c>
    </row>
    <row r="100" spans="1:15" x14ac:dyDescent="0.3">
      <c r="A100">
        <v>1099</v>
      </c>
      <c r="B100" s="1">
        <v>45879</v>
      </c>
      <c r="C100" t="s">
        <v>28</v>
      </c>
      <c r="D100" t="s">
        <v>16</v>
      </c>
      <c r="E100">
        <v>50</v>
      </c>
      <c r="F100" t="s">
        <v>17</v>
      </c>
      <c r="G100" t="s">
        <v>18</v>
      </c>
      <c r="H100" t="s">
        <v>43</v>
      </c>
      <c r="I100" t="s">
        <v>51</v>
      </c>
      <c r="J100">
        <v>4</v>
      </c>
      <c r="K100">
        <v>31111</v>
      </c>
      <c r="L100" s="2">
        <v>0.05</v>
      </c>
      <c r="M100" t="s">
        <v>35</v>
      </c>
      <c r="N100">
        <v>118221.8</v>
      </c>
      <c r="O100">
        <v>26155.59</v>
      </c>
    </row>
    <row r="101" spans="1:15" x14ac:dyDescent="0.3">
      <c r="A101">
        <v>1100</v>
      </c>
      <c r="B101" s="1">
        <v>45670</v>
      </c>
      <c r="C101" t="s">
        <v>52</v>
      </c>
      <c r="D101" t="s">
        <v>16</v>
      </c>
      <c r="E101">
        <v>18</v>
      </c>
      <c r="F101" t="s">
        <v>23</v>
      </c>
      <c r="G101" t="s">
        <v>24</v>
      </c>
      <c r="H101" t="s">
        <v>36</v>
      </c>
      <c r="I101" t="s">
        <v>57</v>
      </c>
      <c r="J101">
        <v>8</v>
      </c>
      <c r="K101">
        <v>47279</v>
      </c>
      <c r="L101" s="2">
        <v>0</v>
      </c>
      <c r="M101" t="s">
        <v>35</v>
      </c>
      <c r="N101">
        <v>378232</v>
      </c>
      <c r="O101">
        <v>71818.95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6933-8AEA-4389-85FD-BA1AAB3A0E70}">
  <dimension ref="B3:S83"/>
  <sheetViews>
    <sheetView topLeftCell="A79" zoomScale="90" zoomScaleNormal="90" workbookViewId="0">
      <selection activeCell="P37" sqref="P37"/>
    </sheetView>
  </sheetViews>
  <sheetFormatPr defaultRowHeight="14.4" x14ac:dyDescent="0.3"/>
  <cols>
    <col min="2" max="2" width="13.44140625" bestFit="1" customWidth="1"/>
    <col min="3" max="3" width="13.33203125" bestFit="1" customWidth="1"/>
    <col min="4" max="4" width="12.109375" bestFit="1" customWidth="1"/>
    <col min="14" max="14" width="13.44140625" bestFit="1" customWidth="1"/>
    <col min="15" max="15" width="12.21875" bestFit="1" customWidth="1"/>
    <col min="16" max="16" width="17.21875" bestFit="1" customWidth="1"/>
    <col min="17" max="17" width="12" bestFit="1" customWidth="1"/>
    <col min="18" max="18" width="13.5546875" bestFit="1" customWidth="1"/>
    <col min="19" max="19" width="11.5546875" bestFit="1" customWidth="1"/>
  </cols>
  <sheetData>
    <row r="3" spans="2:17" x14ac:dyDescent="0.3">
      <c r="N3" t="s">
        <v>62</v>
      </c>
      <c r="O3" t="s">
        <v>70</v>
      </c>
      <c r="P3" t="s">
        <v>80</v>
      </c>
      <c r="Q3" s="12" t="s">
        <v>82</v>
      </c>
    </row>
    <row r="4" spans="2:17" x14ac:dyDescent="0.3">
      <c r="B4" s="4" t="s">
        <v>77</v>
      </c>
      <c r="C4" t="s">
        <v>62</v>
      </c>
      <c r="N4" s="9">
        <v>10154773.25</v>
      </c>
      <c r="O4" s="10">
        <v>1507294.1</v>
      </c>
      <c r="P4">
        <v>100</v>
      </c>
      <c r="Q4" s="11">
        <f>O4/N4</f>
        <v>0.14843207848092521</v>
      </c>
    </row>
    <row r="5" spans="2:17" x14ac:dyDescent="0.3">
      <c r="B5" s="5" t="s">
        <v>19</v>
      </c>
      <c r="C5" s="6">
        <v>2417192.15</v>
      </c>
    </row>
    <row r="6" spans="2:17" x14ac:dyDescent="0.3">
      <c r="B6" s="5" t="s">
        <v>36</v>
      </c>
      <c r="C6" s="6">
        <v>3506103.15</v>
      </c>
    </row>
    <row r="7" spans="2:17" x14ac:dyDescent="0.3">
      <c r="B7" s="5" t="s">
        <v>25</v>
      </c>
      <c r="C7" s="6">
        <v>1978079.9</v>
      </c>
      <c r="N7" s="4" t="s">
        <v>60</v>
      </c>
      <c r="O7" t="s">
        <v>62</v>
      </c>
    </row>
    <row r="8" spans="2:17" x14ac:dyDescent="0.3">
      <c r="B8" s="5" t="s">
        <v>43</v>
      </c>
      <c r="C8" s="6">
        <v>2253398.0499999998</v>
      </c>
      <c r="N8" s="5" t="s">
        <v>37</v>
      </c>
      <c r="O8">
        <v>2044628.55</v>
      </c>
    </row>
    <row r="9" spans="2:17" x14ac:dyDescent="0.3">
      <c r="B9" s="5" t="s">
        <v>61</v>
      </c>
      <c r="C9" s="3">
        <v>10154773.25</v>
      </c>
      <c r="N9" s="5" t="s">
        <v>61</v>
      </c>
      <c r="O9">
        <v>2044628.55</v>
      </c>
    </row>
    <row r="18" spans="2:15" x14ac:dyDescent="0.3">
      <c r="B18" s="4" t="s">
        <v>78</v>
      </c>
      <c r="C18" t="s">
        <v>62</v>
      </c>
    </row>
    <row r="19" spans="2:15" x14ac:dyDescent="0.3">
      <c r="B19" s="5" t="s">
        <v>73</v>
      </c>
      <c r="C19">
        <v>860267.55</v>
      </c>
    </row>
    <row r="20" spans="2:15" x14ac:dyDescent="0.3">
      <c r="B20" s="5" t="s">
        <v>63</v>
      </c>
      <c r="C20">
        <v>1587187.45</v>
      </c>
    </row>
    <row r="21" spans="2:15" x14ac:dyDescent="0.3">
      <c r="B21" s="5" t="s">
        <v>74</v>
      </c>
      <c r="C21">
        <v>1093894.7</v>
      </c>
    </row>
    <row r="22" spans="2:15" x14ac:dyDescent="0.3">
      <c r="B22" s="5" t="s">
        <v>64</v>
      </c>
      <c r="C22">
        <v>782525.35</v>
      </c>
    </row>
    <row r="23" spans="2:15" x14ac:dyDescent="0.3">
      <c r="B23" s="5" t="s">
        <v>65</v>
      </c>
      <c r="C23">
        <v>303976.8</v>
      </c>
    </row>
    <row r="24" spans="2:15" x14ac:dyDescent="0.3">
      <c r="B24" s="5" t="s">
        <v>75</v>
      </c>
      <c r="C24">
        <v>722065.75</v>
      </c>
    </row>
    <row r="25" spans="2:15" x14ac:dyDescent="0.3">
      <c r="B25" s="5" t="s">
        <v>66</v>
      </c>
      <c r="C25">
        <v>477944.55</v>
      </c>
    </row>
    <row r="26" spans="2:15" x14ac:dyDescent="0.3">
      <c r="B26" s="5" t="s">
        <v>67</v>
      </c>
      <c r="C26">
        <v>585936.9</v>
      </c>
    </row>
    <row r="27" spans="2:15" x14ac:dyDescent="0.3">
      <c r="B27" s="5" t="s">
        <v>76</v>
      </c>
      <c r="C27">
        <v>882808.55</v>
      </c>
      <c r="O27" s="8"/>
    </row>
    <row r="28" spans="2:15" x14ac:dyDescent="0.3">
      <c r="B28" s="5" t="s">
        <v>72</v>
      </c>
      <c r="C28">
        <v>747396.7</v>
      </c>
    </row>
    <row r="29" spans="2:15" x14ac:dyDescent="0.3">
      <c r="B29" s="5" t="s">
        <v>68</v>
      </c>
      <c r="C29">
        <v>957563.35</v>
      </c>
    </row>
    <row r="30" spans="2:15" x14ac:dyDescent="0.3">
      <c r="B30" s="5" t="s">
        <v>69</v>
      </c>
      <c r="C30">
        <v>1153205.6000000001</v>
      </c>
    </row>
    <row r="31" spans="2:15" x14ac:dyDescent="0.3">
      <c r="B31" s="5" t="s">
        <v>61</v>
      </c>
      <c r="C31">
        <v>10154773.25</v>
      </c>
      <c r="O31" s="8"/>
    </row>
    <row r="34" spans="2:19" x14ac:dyDescent="0.3">
      <c r="B34" s="4" t="s">
        <v>79</v>
      </c>
      <c r="C34" t="s">
        <v>62</v>
      </c>
    </row>
    <row r="35" spans="2:19" x14ac:dyDescent="0.3">
      <c r="B35" s="5" t="s">
        <v>37</v>
      </c>
      <c r="C35">
        <v>2044628.55</v>
      </c>
    </row>
    <row r="36" spans="2:19" x14ac:dyDescent="0.3">
      <c r="B36" s="5" t="s">
        <v>61</v>
      </c>
      <c r="C36">
        <v>2044628.55</v>
      </c>
    </row>
    <row r="48" spans="2:19" x14ac:dyDescent="0.3">
      <c r="O48" s="4" t="s">
        <v>60</v>
      </c>
      <c r="P48" t="s">
        <v>62</v>
      </c>
      <c r="R48" s="4" t="s">
        <v>60</v>
      </c>
      <c r="S48" t="s">
        <v>70</v>
      </c>
    </row>
    <row r="49" spans="2:19" x14ac:dyDescent="0.3">
      <c r="O49" s="5" t="s">
        <v>36</v>
      </c>
      <c r="P49">
        <v>3506103.1500000004</v>
      </c>
      <c r="R49" s="5" t="s">
        <v>36</v>
      </c>
      <c r="S49">
        <v>562369.12</v>
      </c>
    </row>
    <row r="50" spans="2:19" x14ac:dyDescent="0.3">
      <c r="B50" s="4" t="s">
        <v>60</v>
      </c>
      <c r="C50" t="s">
        <v>70</v>
      </c>
      <c r="O50" s="5" t="s">
        <v>19</v>
      </c>
      <c r="P50">
        <v>2417192.1499999994</v>
      </c>
      <c r="R50" s="5" t="s">
        <v>19</v>
      </c>
      <c r="S50">
        <v>374546.69</v>
      </c>
    </row>
    <row r="51" spans="2:19" x14ac:dyDescent="0.3">
      <c r="B51" s="5" t="s">
        <v>33</v>
      </c>
      <c r="C51">
        <v>466287.95</v>
      </c>
      <c r="O51" s="5" t="s">
        <v>43</v>
      </c>
      <c r="P51">
        <v>2253398.0499999998</v>
      </c>
      <c r="R51" s="5" t="s">
        <v>43</v>
      </c>
      <c r="S51">
        <v>321698.43</v>
      </c>
    </row>
    <row r="52" spans="2:19" x14ac:dyDescent="0.3">
      <c r="B52" s="5" t="s">
        <v>24</v>
      </c>
      <c r="C52">
        <v>455026.78</v>
      </c>
      <c r="O52" s="5" t="s">
        <v>25</v>
      </c>
      <c r="P52">
        <v>1978079.8999999997</v>
      </c>
      <c r="R52" s="5" t="s">
        <v>25</v>
      </c>
      <c r="S52">
        <v>248679.86</v>
      </c>
    </row>
    <row r="53" spans="2:19" x14ac:dyDescent="0.3">
      <c r="B53" s="5" t="s">
        <v>49</v>
      </c>
      <c r="C53">
        <v>213608.76</v>
      </c>
      <c r="O53" s="5" t="s">
        <v>61</v>
      </c>
      <c r="P53">
        <v>10154773.25</v>
      </c>
      <c r="R53" s="5" t="s">
        <v>61</v>
      </c>
      <c r="S53">
        <v>1507294.1</v>
      </c>
    </row>
    <row r="54" spans="2:19" x14ac:dyDescent="0.3">
      <c r="B54" s="5" t="s">
        <v>47</v>
      </c>
      <c r="C54">
        <v>220971.47</v>
      </c>
    </row>
    <row r="55" spans="2:19" x14ac:dyDescent="0.3">
      <c r="B55" s="5" t="s">
        <v>18</v>
      </c>
      <c r="C55">
        <v>151399.14000000001</v>
      </c>
    </row>
    <row r="56" spans="2:19" x14ac:dyDescent="0.3">
      <c r="B56" s="5" t="s">
        <v>61</v>
      </c>
      <c r="C56">
        <v>1507294.1</v>
      </c>
    </row>
    <row r="64" spans="2:19" x14ac:dyDescent="0.3">
      <c r="B64" s="4" t="s">
        <v>60</v>
      </c>
      <c r="C64" t="s">
        <v>71</v>
      </c>
    </row>
    <row r="65" spans="2:3" x14ac:dyDescent="0.3">
      <c r="B65" s="5" t="s">
        <v>29</v>
      </c>
      <c r="C65">
        <v>50</v>
      </c>
    </row>
    <row r="66" spans="2:3" x14ac:dyDescent="0.3">
      <c r="B66" s="5" t="s">
        <v>16</v>
      </c>
      <c r="C66">
        <v>50</v>
      </c>
    </row>
    <row r="67" spans="2:3" x14ac:dyDescent="0.3">
      <c r="B67" s="5" t="s">
        <v>61</v>
      </c>
      <c r="C67">
        <v>100</v>
      </c>
    </row>
    <row r="78" spans="2:3" x14ac:dyDescent="0.3">
      <c r="B78" s="4" t="s">
        <v>60</v>
      </c>
      <c r="C78" t="s">
        <v>62</v>
      </c>
    </row>
    <row r="79" spans="2:3" x14ac:dyDescent="0.3">
      <c r="B79" s="5" t="s">
        <v>35</v>
      </c>
      <c r="C79">
        <v>2857906.8</v>
      </c>
    </row>
    <row r="80" spans="2:3" x14ac:dyDescent="0.3">
      <c r="B80" s="5" t="s">
        <v>21</v>
      </c>
      <c r="C80">
        <v>3533234.45</v>
      </c>
    </row>
    <row r="81" spans="2:3" x14ac:dyDescent="0.3">
      <c r="B81" s="5" t="s">
        <v>27</v>
      </c>
      <c r="C81">
        <v>2002206.45</v>
      </c>
    </row>
    <row r="82" spans="2:3" x14ac:dyDescent="0.3">
      <c r="B82" s="5" t="s">
        <v>31</v>
      </c>
      <c r="C82">
        <v>1761425.55</v>
      </c>
    </row>
    <row r="83" spans="2:3" x14ac:dyDescent="0.3">
      <c r="B83" s="5" t="s">
        <v>61</v>
      </c>
      <c r="C83">
        <v>10154773.25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6DAE-38F3-418F-A7BD-CE26BA483DE2}">
  <dimension ref="A1"/>
  <sheetViews>
    <sheetView showGridLines="0" tabSelected="1" zoomScale="60" zoomScaleNormal="60" workbookViewId="0">
      <selection activeCell="AJ22" sqref="AJ22"/>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ED77F910-9270-4616-91A7-043462EDF153}">
  <ds:schemaRefs/>
</ds:datastoreItem>
</file>

<file path=customXml/itemProps2.xml><?xml version="1.0" encoding="utf-8"?>
<ds:datastoreItem xmlns:ds="http://schemas.openxmlformats.org/officeDocument/2006/customXml" ds:itemID="{51FC44A8-0150-4F11-9167-0C23D4026688}">
  <ds:schemaRefs>
    <ds:schemaRef ds:uri="http://schemas.microsoft.com/DataMashup"/>
  </ds:schemaRefs>
</ds:datastoreItem>
</file>

<file path=customXml/itemProps3.xml><?xml version="1.0" encoding="utf-8"?>
<ds:datastoreItem xmlns:ds="http://schemas.openxmlformats.org/officeDocument/2006/customXml" ds:itemID="{FE9FFFEE-80D2-4298-93AB-5F7F9A116685}">
  <ds:schemaRefs/>
</ds:datastoreItem>
</file>

<file path=customXml/itemProps4.xml><?xml version="1.0" encoding="utf-8"?>
<ds:datastoreItem xmlns:ds="http://schemas.openxmlformats.org/officeDocument/2006/customXml" ds:itemID="{3457D92A-35B1-44D5-99D0-9929A48D97BE}">
  <ds:schemaRefs/>
</ds:datastoreItem>
</file>

<file path=customXml/itemProps5.xml><?xml version="1.0" encoding="utf-8"?>
<ds:datastoreItem xmlns:ds="http://schemas.openxmlformats.org/officeDocument/2006/customXml" ds:itemID="{A5E905FC-BDB3-410E-BD8C-56AF97600812}">
  <ds:schemaRefs/>
</ds:datastoreItem>
</file>

<file path=customXml/itemProps6.xml><?xml version="1.0" encoding="utf-8"?>
<ds:datastoreItem xmlns:ds="http://schemas.openxmlformats.org/officeDocument/2006/customXml" ds:itemID="{3E18CFBF-C0AE-419D-BE20-948DDDB431EE}">
  <ds:schemaRefs/>
</ds:datastoreItem>
</file>

<file path=customXml/itemProps7.xml><?xml version="1.0" encoding="utf-8"?>
<ds:datastoreItem xmlns:ds="http://schemas.openxmlformats.org/officeDocument/2006/customXml" ds:itemID="{92270DFC-A7AE-44D7-9002-A0DF1E846564}">
  <ds:schemaRefs/>
</ds:datastoreItem>
</file>

<file path=customXml/itemProps8.xml><?xml version="1.0" encoding="utf-8"?>
<ds:datastoreItem xmlns:ds="http://schemas.openxmlformats.org/officeDocument/2006/customXml" ds:itemID="{F8628058-995D-44E6-89F2-3F7EF9027EF7}">
  <ds:schemaRefs/>
</ds:datastoreItem>
</file>

<file path=customXml/itemProps9.xml><?xml version="1.0" encoding="utf-8"?>
<ds:datastoreItem xmlns:ds="http://schemas.openxmlformats.org/officeDocument/2006/customXml" ds:itemID="{C6BB8B23-1772-4A9B-ADFA-F6629DDB93DC}">
  <ds:schemaRefs/>
</ds:datastoreItem>
</file>

<file path=customXml/itemProps10.xml><?xml version="1.0" encoding="utf-8"?>
<ds:datastoreItem xmlns:ds="http://schemas.openxmlformats.org/officeDocument/2006/customXml" ds:itemID="{CDDDCB0E-4057-40F9-91E1-F5AB40A5C797}">
  <ds:schemaRefs/>
</ds:datastoreItem>
</file>

<file path=customXml/itemProps11.xml><?xml version="1.0" encoding="utf-8"?>
<ds:datastoreItem xmlns:ds="http://schemas.openxmlformats.org/officeDocument/2006/customXml" ds:itemID="{F389B788-3C19-49E2-A7BF-1DD6CB18E663}">
  <ds:schemaRefs/>
</ds:datastoreItem>
</file>

<file path=customXml/itemProps12.xml><?xml version="1.0" encoding="utf-8"?>
<ds:datastoreItem xmlns:ds="http://schemas.openxmlformats.org/officeDocument/2006/customXml" ds:itemID="{09AA4FA6-316A-4A7C-9D06-045F6F1DAD8A}">
  <ds:schemaRefs/>
</ds:datastoreItem>
</file>

<file path=customXml/itemProps13.xml><?xml version="1.0" encoding="utf-8"?>
<ds:datastoreItem xmlns:ds="http://schemas.openxmlformats.org/officeDocument/2006/customXml" ds:itemID="{9057743C-2E4D-4911-ACF8-8A09512640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boomikasrini07@outlook.com</cp:lastModifiedBy>
  <dcterms:created xsi:type="dcterms:W3CDTF">2026-06-13T16:21:22Z</dcterms:created>
  <dcterms:modified xsi:type="dcterms:W3CDTF">2026-08-16T16:44:03Z</dcterms:modified>
</cp:coreProperties>
</file>